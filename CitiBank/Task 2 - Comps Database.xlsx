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ANIRUDH\Documents\"/>
    </mc:Choice>
  </mc:AlternateContent>
  <xr:revisionPtr revIDLastSave="0" documentId="13_ncr:1_{6BAC205A-5E9C-4BED-AC5B-B42D49389386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Transaction and trading comps" sheetId="1" r:id="rId1"/>
    <sheet name="Sheet1" sheetId="2" r:id="rId2"/>
  </sheets>
  <definedNames>
    <definedName name="_bdm.f6ea6708100240a1a1fed1196f8cc000.edm" hidden="1">'Transaction and trading comps'!$1:$1048576</definedName>
  </definedNames>
  <calcPr calcId="191029" calcMode="autoNoTable" iterate="1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89" i="1" l="1"/>
  <c r="K89" i="1"/>
  <c r="L89" i="1"/>
  <c r="M89" i="1"/>
  <c r="N89" i="1"/>
  <c r="O89" i="1"/>
  <c r="P89" i="1"/>
  <c r="Q89" i="1"/>
  <c r="I89" i="1"/>
  <c r="C92" i="1" s="1"/>
  <c r="E89" i="1" l="1"/>
  <c r="F89" i="1"/>
  <c r="G89" i="1"/>
  <c r="D89" i="1"/>
  <c r="C91" i="1" s="1"/>
</calcChain>
</file>

<file path=xl/sharedStrings.xml><?xml version="1.0" encoding="utf-8"?>
<sst xmlns="http://schemas.openxmlformats.org/spreadsheetml/2006/main" count="93" uniqueCount="69">
  <si>
    <t>Target</t>
  </si>
  <si>
    <t>Acquiror</t>
  </si>
  <si>
    <t>LTM EV / EBITDA</t>
  </si>
  <si>
    <t>EV (A$bn)</t>
  </si>
  <si>
    <t>Date:</t>
  </si>
  <si>
    <t>Company</t>
  </si>
  <si>
    <t>Transaction comps</t>
  </si>
  <si>
    <t>Trading comps</t>
  </si>
  <si>
    <t>NTM EV / EBITDA</t>
  </si>
  <si>
    <t>Sydney Office REIT</t>
  </si>
  <si>
    <t>Newspaper &amp; Radio Co.</t>
  </si>
  <si>
    <t>TV Co.</t>
  </si>
  <si>
    <t>European Media Co.</t>
  </si>
  <si>
    <t>Australian Media Co.</t>
  </si>
  <si>
    <t>Australian Hospitals Co.</t>
  </si>
  <si>
    <t>European Hospitals Co.</t>
  </si>
  <si>
    <t>Toll Road</t>
  </si>
  <si>
    <t>Toll Road Co.</t>
  </si>
  <si>
    <t>Australia Hotel Manager Co.</t>
  </si>
  <si>
    <t>European Hotel Manager Co.</t>
  </si>
  <si>
    <t>Gambling Co.</t>
  </si>
  <si>
    <t>Betting Co.</t>
  </si>
  <si>
    <t>US Artificial Intelligence Co.</t>
  </si>
  <si>
    <t>Australian Artificial Intelligence Co.</t>
  </si>
  <si>
    <t>Services Co.</t>
  </si>
  <si>
    <t>Australian Services Co.</t>
  </si>
  <si>
    <t>Japanese Services Co.</t>
  </si>
  <si>
    <t>China Coal Co.</t>
  </si>
  <si>
    <t>Australian Coal Co.</t>
  </si>
  <si>
    <t>Online Casino Co.</t>
  </si>
  <si>
    <t>China Gaming Co.</t>
  </si>
  <si>
    <t>Concrete Co.</t>
  </si>
  <si>
    <t>Building Products Co.</t>
  </si>
  <si>
    <t>Whitegoods Co.</t>
  </si>
  <si>
    <t>Data Analytics Co.</t>
  </si>
  <si>
    <t>Private Equity Co.</t>
  </si>
  <si>
    <t>Household Goods Co.</t>
  </si>
  <si>
    <t>Chinese Conglomerate Co.</t>
  </si>
  <si>
    <t>Mobile Gaming Co.</t>
  </si>
  <si>
    <t>Queen Mobile Gaming Co.</t>
  </si>
  <si>
    <t>Video Game Co.</t>
  </si>
  <si>
    <t>Sustainable Energy Co.</t>
  </si>
  <si>
    <t>Energy Utility Co.</t>
  </si>
  <si>
    <t>US Casino Co.</t>
  </si>
  <si>
    <t>Online Games Co.</t>
  </si>
  <si>
    <t>Mobile Games Ltd.</t>
  </si>
  <si>
    <t>Healthcare Co.</t>
  </si>
  <si>
    <t>Chinese Gaming Co.</t>
  </si>
  <si>
    <t>Supermarkets Ltd.</t>
  </si>
  <si>
    <t>Copper Mining Co.</t>
  </si>
  <si>
    <t>South Korean Online Gaming Co.</t>
  </si>
  <si>
    <t>Software Ltd.</t>
  </si>
  <si>
    <t>Online Accounting Co.</t>
  </si>
  <si>
    <t>Japanese Gaming Co.</t>
  </si>
  <si>
    <t>Chinese Game Developer Co.</t>
  </si>
  <si>
    <t>Japanese online Social Media and Gaming Co.</t>
  </si>
  <si>
    <t>Chinese Computer Games Co.</t>
  </si>
  <si>
    <t>Smartphone Apps Co.</t>
  </si>
  <si>
    <t>Gyms Co.</t>
  </si>
  <si>
    <t>Real Estate Advertising Co.</t>
  </si>
  <si>
    <t>Electricity Co.</t>
  </si>
  <si>
    <t>Sovereign Wealth Fund</t>
  </si>
  <si>
    <t>Japanese Online Social Media and Gaming Co.</t>
  </si>
  <si>
    <t>InsideSherpa - transaction comps</t>
  </si>
  <si>
    <t>InsideSherpa - trading comps</t>
  </si>
  <si>
    <t>InsideSherpa - selected transaction comps</t>
  </si>
  <si>
    <t>Median</t>
  </si>
  <si>
    <t>Telecom Co.</t>
  </si>
  <si>
    <t>Cement Manufacturer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</si>
</sst>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x"/>
    <numFmt numFmtId="165" formatCode="&quot;Median = &quot;0.0\x"/>
  </numFmts>
  <fonts count="5" x14ac:knownFonts="1">
    <font>
      <sz val="8"/>
      <color theme="1"/>
      <name val="Arial"/>
      <family val="2"/>
    </font>
    <font>
      <sz val="8"/>
      <color theme="6"/>
      <name val="Arial"/>
      <family val="2"/>
    </font>
    <font>
      <b/>
      <sz val="8"/>
      <color theme="6"/>
      <name val="Arial"/>
      <family val="2"/>
    </font>
    <font>
      <b/>
      <sz val="8"/>
      <color theme="5"/>
      <name val="Arial"/>
      <family val="2"/>
    </font>
    <font>
      <b/>
      <sz val="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 style="thin">
        <color theme="7"/>
      </bottom>
      <diagonal/>
    </border>
    <border>
      <left/>
      <right/>
      <top/>
      <bottom style="thin">
        <color theme="7"/>
      </bottom>
      <diagonal/>
    </border>
  </borders>
  <cellStyleXfs count="1">
    <xf numFmtId="0" fontId="0" fillId="0" borderId="0" applyFill="0" applyBorder="0" applyAlignment="0" applyProtection="0"/>
  </cellStyleXfs>
  <cellXfs count="19">
    <xf numFmtId="0" fontId="0" fillId="0" borderId="0" xfId="0"/>
    <xf numFmtId="15" fontId="0" fillId="0" borderId="0" xfId="0" applyNumberFormat="1"/>
    <xf numFmtId="0" fontId="3" fillId="0" borderId="1" xfId="0" applyFont="1" applyFill="1" applyBorder="1"/>
    <xf numFmtId="0" fontId="0" fillId="0" borderId="0" xfId="0" applyAlignment="1">
      <alignment wrapText="1"/>
    </xf>
    <xf numFmtId="17" fontId="3" fillId="0" borderId="1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wrapText="1"/>
    </xf>
    <xf numFmtId="0" fontId="4" fillId="3" borderId="0" xfId="0" applyFont="1" applyFill="1"/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5" fontId="0" fillId="0" borderId="0" xfId="0" applyNumberFormat="1"/>
    <xf numFmtId="0" fontId="4" fillId="3" borderId="0" xfId="0" applyFont="1" applyFill="1" applyAlignment="1">
      <alignment horizontal="centerContinuous"/>
    </xf>
    <xf numFmtId="0" fontId="4" fillId="3" borderId="0" xfId="0" applyFont="1" applyFill="1" applyAlignment="1">
      <alignment horizontal="centerContinuous" wrapText="1"/>
    </xf>
    <xf numFmtId="0" fontId="4" fillId="4" borderId="0" xfId="0" applyFont="1" applyFill="1" applyAlignment="1">
      <alignment horizontal="centerContinuous"/>
    </xf>
    <xf numFmtId="0" fontId="4" fillId="4" borderId="0" xfId="0" applyFont="1" applyFill="1" applyAlignment="1">
      <alignment horizontal="centerContinuous" wrapText="1"/>
    </xf>
    <xf numFmtId="164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CC00"/>
      <rgbColor rgb="00FFFF66"/>
      <rgbColor rgb="00016699"/>
      <rgbColor rgb="00999700"/>
      <rgbColor rgb="000000FF"/>
      <rgbColor rgb="00008000"/>
      <rgbColor rgb="00FF0000"/>
      <rgbColor rgb="00CCF2FC"/>
      <rgbColor rgb="00EAEBEB"/>
      <rgbColor rgb="00002D72"/>
      <rgbColor rgb="0000BDF2"/>
      <rgbColor rgb="00CB6015"/>
      <rgbColor rgb="0053565A"/>
      <rgbColor rgb="0097999B"/>
      <rgbColor rgb="00002D72"/>
      <rgbColor rgb="0099ABC7"/>
      <rgbColor rgb="0000BDF2"/>
      <rgbColor rgb="0099E4FA"/>
      <rgbColor rgb="0053565A"/>
      <rgbColor rgb="0097999B"/>
      <rgbColor rgb="0000B0B9"/>
      <rgbColor rgb="0099DFE3"/>
      <rgbColor rgb="00C99700"/>
      <rgbColor rgb="00E9D599"/>
      <rgbColor rgb="0000843D"/>
      <rgbColor rgb="0099CEB1"/>
      <rgbColor rgb="00890C58"/>
      <rgbColor rgb="00D09EBC"/>
      <rgbColor rgb="00949300"/>
      <rgbColor rgb="00D4D499"/>
      <rgbColor rgb="00007377"/>
      <rgbColor rgb="0099C7C9"/>
      <rgbColor rgb="00ED8B00"/>
      <rgbColor rgb="00F8D199"/>
      <rgbColor rgb="006B3077"/>
      <rgbColor rgb="00C4ACC9"/>
      <rgbColor rgb="0084BD00"/>
      <rgbColor rgb="00CEE599"/>
      <rgbColor rgb="00FF99FF"/>
      <rgbColor rgb="0066FF66"/>
      <rgbColor rgb="00FF9933"/>
      <rgbColor rgb="00FF5050"/>
      <rgbColor rgb="00FF7C80"/>
      <rgbColor rgb="00FF9999"/>
      <rgbColor rgb="00003366"/>
      <rgbColor rgb="00660066"/>
      <rgbColor rgb="00CCFFCC"/>
      <rgbColor rgb="00FFFF99"/>
      <rgbColor rgb="00FFFFCC"/>
      <rgbColor rgb="00FFCC99"/>
      <rgbColor rgb="00FFCCCC"/>
      <rgbColor rgb="00FF66FF"/>
      <rgbColor rgb="00CCFFFF"/>
      <rgbColor rgb="00FFCC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3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'Transaction and trading comps'!$D$28:$V$28</c:f>
              <c:numCache>
                <c:formatCode>0.0\x</c:formatCode>
                <c:ptCount val="19"/>
                <c:pt idx="0">
                  <c:v>14.1</c:v>
                </c:pt>
                <c:pt idx="1">
                  <c:v>11.4</c:v>
                </c:pt>
                <c:pt idx="2">
                  <c:v>13.2</c:v>
                </c:pt>
                <c:pt idx="3">
                  <c:v>10.199999999999999</c:v>
                </c:pt>
                <c:pt idx="4">
                  <c:v>25.2</c:v>
                </c:pt>
                <c:pt idx="5">
                  <c:v>11.1</c:v>
                </c:pt>
                <c:pt idx="6">
                  <c:v>12.1</c:v>
                </c:pt>
                <c:pt idx="7">
                  <c:v>15.8</c:v>
                </c:pt>
                <c:pt idx="8">
                  <c:v>5.9</c:v>
                </c:pt>
                <c:pt idx="9">
                  <c:v>10.3</c:v>
                </c:pt>
                <c:pt idx="10">
                  <c:v>6.5</c:v>
                </c:pt>
                <c:pt idx="11">
                  <c:v>12.2</c:v>
                </c:pt>
                <c:pt idx="12">
                  <c:v>11</c:v>
                </c:pt>
                <c:pt idx="13">
                  <c:v>11.7</c:v>
                </c:pt>
                <c:pt idx="14">
                  <c:v>10.6</c:v>
                </c:pt>
                <c:pt idx="15">
                  <c:v>9.5</c:v>
                </c:pt>
                <c:pt idx="16">
                  <c:v>9</c:v>
                </c:pt>
                <c:pt idx="17">
                  <c:v>10.5</c:v>
                </c:pt>
                <c:pt idx="18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5-4F57-A54A-228453291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123998720"/>
        <c:axId val="2124002000"/>
      </c:barChart>
      <c:catAx>
        <c:axId val="2123998720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 w="12700">
            <a:solidFill>
              <a:srgbClr val="53565A"/>
            </a:solidFill>
            <a:prstDash val="solid"/>
          </a:ln>
        </c:spPr>
        <c:txPr>
          <a:bodyPr rot="0" vert="horz"/>
          <a:lstStyle/>
          <a:p>
            <a:pPr>
              <a:defRPr sz="8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4002000"/>
        <c:crosses val="autoZero"/>
        <c:auto val="1"/>
        <c:lblAlgn val="ctr"/>
        <c:lblOffset val="100"/>
        <c:noMultiLvlLbl val="0"/>
      </c:catAx>
      <c:valAx>
        <c:axId val="2124002000"/>
        <c:scaling>
          <c:orientation val="minMax"/>
        </c:scaling>
        <c:delete val="0"/>
        <c:axPos val="l"/>
        <c:numFmt formatCode="0.0\x" sourceLinked="1"/>
        <c:majorTickMark val="none"/>
        <c:minorTickMark val="none"/>
        <c:tickLblPos val="none"/>
        <c:spPr>
          <a:ln w="12700">
            <a:noFill/>
            <a:prstDash val="solid"/>
          </a:ln>
        </c:spPr>
        <c:txPr>
          <a:bodyPr rot="0" vert="horz"/>
          <a:lstStyle/>
          <a:p>
            <a:pPr>
              <a:defRPr sz="8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39987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 paperSize="9" orientation="portrait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E-A390-4627-A506-681A73C4B51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D-A390-4627-A506-681A73C4B51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6-A390-4627-A506-681A73C4B51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7-A390-4627-A506-681A73C4B5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accent3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'Transaction and trading comps'!$D$88:$Q$88</c:f>
              <c:numCache>
                <c:formatCode>General</c:formatCode>
                <c:ptCount val="14"/>
                <c:pt idx="0">
                  <c:v>12.2</c:v>
                </c:pt>
                <c:pt idx="1">
                  <c:v>10.6</c:v>
                </c:pt>
                <c:pt idx="2">
                  <c:v>9.5</c:v>
                </c:pt>
                <c:pt idx="3">
                  <c:v>11.1</c:v>
                </c:pt>
                <c:pt idx="5">
                  <c:v>11</c:v>
                </c:pt>
                <c:pt idx="6">
                  <c:v>20.399999999999999</c:v>
                </c:pt>
                <c:pt idx="7">
                  <c:v>14.6</c:v>
                </c:pt>
                <c:pt idx="8">
                  <c:v>19</c:v>
                </c:pt>
                <c:pt idx="9">
                  <c:v>7</c:v>
                </c:pt>
                <c:pt idx="10">
                  <c:v>17.399999999999999</c:v>
                </c:pt>
                <c:pt idx="11">
                  <c:v>6</c:v>
                </c:pt>
                <c:pt idx="12">
                  <c:v>5.6</c:v>
                </c:pt>
                <c:pt idx="13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0-4627-A506-681A73C4B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123998720"/>
        <c:axId val="2124002000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accent5"/>
              </a:solidFill>
              <a:prstDash val="lgDash"/>
            </a:ln>
          </c:spPr>
          <c:marker>
            <c:symbol val="none"/>
          </c:marker>
          <c:dLbls>
            <c:dLbl>
              <c:idx val="2"/>
              <c:layout>
                <c:manualLayout>
                  <c:x val="-9.0287101337448578E-2"/>
                  <c:y val="-0.51541771488469601"/>
                </c:manualLayout>
              </c:layout>
              <c:tx>
                <c:strRef>
                  <c:f>'Transaction and trading comps'!$C$91</c:f>
                  <c:strCache>
                    <c:ptCount val="1"/>
                    <c:pt idx="0">
                      <c:v>Median = 10.9x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chemeClr val="accent5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{DA25534E-3FE1-450F-BD46-0634EA2EF459}</c15:txfldGUID>
                      <c15:f>'Transaction and trading comps'!$C$91</c15:f>
                      <c15:dlblFieldTableCache>
                        <c:ptCount val="1"/>
                        <c:pt idx="0">
                          <c:v>Median = 10.9x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A390-4627-A506-681A73C4B511}"/>
                </c:ext>
              </c:extLst>
            </c:dLbl>
            <c:dLbl>
              <c:idx val="9"/>
              <c:layout>
                <c:manualLayout>
                  <c:x val="-4.7098443930041249E-2"/>
                  <c:y val="-0.50889675052410899"/>
                </c:manualLayout>
              </c:layout>
              <c:tx>
                <c:strRef>
                  <c:f>'Transaction and trading comps'!$C$92</c:f>
                  <c:strCache>
                    <c:ptCount val="1"/>
                    <c:pt idx="0">
                      <c:v>Median = 11.0x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chemeClr val="accent5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{5CBFD1C9-DA43-4BB4-B23B-DFB3ADB32A8A}</c15:txfldGUID>
                      <c15:f>'Transaction and trading comps'!$C$92</c15:f>
                      <c15:dlblFieldTableCache>
                        <c:ptCount val="1"/>
                        <c:pt idx="0">
                          <c:v>Median = 11.0x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A390-4627-A506-681A73C4B5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'Transaction and trading comps'!$D$89:$Q$89</c:f>
              <c:numCache>
                <c:formatCode>0.0\x</c:formatCode>
                <c:ptCount val="14"/>
                <c:pt idx="0">
                  <c:v>10.85</c:v>
                </c:pt>
                <c:pt idx="1">
                  <c:v>10.85</c:v>
                </c:pt>
                <c:pt idx="2">
                  <c:v>10.85</c:v>
                </c:pt>
                <c:pt idx="3">
                  <c:v>10.85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390-4627-A506-681A73C4B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3998720"/>
        <c:axId val="2124002000"/>
      </c:lineChart>
      <c:catAx>
        <c:axId val="2123998720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 w="12700">
            <a:solidFill>
              <a:srgbClr val="53565A"/>
            </a:solidFill>
            <a:prstDash val="solid"/>
          </a:ln>
        </c:spPr>
        <c:txPr>
          <a:bodyPr rot="0" vert="horz"/>
          <a:lstStyle/>
          <a:p>
            <a:pPr>
              <a:defRPr sz="8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4002000"/>
        <c:crosses val="autoZero"/>
        <c:auto val="1"/>
        <c:lblAlgn val="ctr"/>
        <c:lblOffset val="100"/>
        <c:noMultiLvlLbl val="0"/>
      </c:catAx>
      <c:valAx>
        <c:axId val="212400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12700">
            <a:noFill/>
            <a:prstDash val="solid"/>
          </a:ln>
        </c:spPr>
        <c:txPr>
          <a:bodyPr rot="0" vert="horz"/>
          <a:lstStyle/>
          <a:p>
            <a:pPr>
              <a:defRPr sz="8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39987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 paperSize="9" orientation="portrait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3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'Transaction and trading comps'!$D$59:$V$59</c:f>
              <c:numCache>
                <c:formatCode>0.0\x</c:formatCode>
                <c:ptCount val="19"/>
                <c:pt idx="0">
                  <c:v>7.1</c:v>
                </c:pt>
                <c:pt idx="1">
                  <c:v>11</c:v>
                </c:pt>
                <c:pt idx="2">
                  <c:v>18.3</c:v>
                </c:pt>
                <c:pt idx="3">
                  <c:v>9.1999999999999993</c:v>
                </c:pt>
                <c:pt idx="4">
                  <c:v>20.399999999999999</c:v>
                </c:pt>
                <c:pt idx="5">
                  <c:v>9.3000000000000007</c:v>
                </c:pt>
                <c:pt idx="6">
                  <c:v>14.6</c:v>
                </c:pt>
                <c:pt idx="7">
                  <c:v>4.8</c:v>
                </c:pt>
                <c:pt idx="8">
                  <c:v>19</c:v>
                </c:pt>
                <c:pt idx="9">
                  <c:v>53.8</c:v>
                </c:pt>
                <c:pt idx="10">
                  <c:v>7</c:v>
                </c:pt>
                <c:pt idx="11">
                  <c:v>68.8</c:v>
                </c:pt>
                <c:pt idx="12">
                  <c:v>6</c:v>
                </c:pt>
                <c:pt idx="13">
                  <c:v>17.399999999999999</c:v>
                </c:pt>
                <c:pt idx="14">
                  <c:v>6</c:v>
                </c:pt>
                <c:pt idx="15">
                  <c:v>7.8</c:v>
                </c:pt>
                <c:pt idx="16">
                  <c:v>27.6</c:v>
                </c:pt>
                <c:pt idx="17">
                  <c:v>5.6</c:v>
                </c:pt>
                <c:pt idx="18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C-49B7-A04B-9C833A150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123998720"/>
        <c:axId val="2124002000"/>
      </c:barChart>
      <c:catAx>
        <c:axId val="2123998720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 w="12700">
            <a:solidFill>
              <a:srgbClr val="53565A"/>
            </a:solidFill>
            <a:prstDash val="solid"/>
          </a:ln>
        </c:spPr>
        <c:txPr>
          <a:bodyPr rot="0" vert="horz"/>
          <a:lstStyle/>
          <a:p>
            <a:pPr>
              <a:defRPr sz="8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4002000"/>
        <c:crosses val="autoZero"/>
        <c:auto val="1"/>
        <c:lblAlgn val="ctr"/>
        <c:lblOffset val="100"/>
        <c:noMultiLvlLbl val="0"/>
      </c:catAx>
      <c:valAx>
        <c:axId val="2124002000"/>
        <c:scaling>
          <c:orientation val="minMax"/>
        </c:scaling>
        <c:delete val="0"/>
        <c:axPos val="l"/>
        <c:numFmt formatCode="0.0\x" sourceLinked="1"/>
        <c:majorTickMark val="none"/>
        <c:minorTickMark val="none"/>
        <c:tickLblPos val="none"/>
        <c:spPr>
          <a:ln w="12700">
            <a:noFill/>
            <a:prstDash val="solid"/>
          </a:ln>
        </c:spPr>
        <c:txPr>
          <a:bodyPr rot="0" vert="horz"/>
          <a:lstStyle/>
          <a:p>
            <a:pPr>
              <a:defRPr sz="8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39987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 paperSize="9" orientation="portrait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Trading Comparables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Sheet1!$H$10:$P$10</c:f>
              <c:numCache>
                <c:formatCode>General</c:formatCode>
                <c:ptCount val="9"/>
                <c:pt idx="0">
                  <c:v>5</c:v>
                </c:pt>
                <c:pt idx="1">
                  <c:v>8.3000000000000007</c:v>
                </c:pt>
                <c:pt idx="2">
                  <c:v>31.7</c:v>
                </c:pt>
                <c:pt idx="3">
                  <c:v>0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D-4E47-BD1E-A4C16C77545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Sheet1!$H$11:$P$11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9C8D-4E47-BD1E-A4C16C77545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Sheet1!$H$12:$P$12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9C8D-4E47-BD1E-A4C16C775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253760"/>
        <c:axId val="210204176"/>
      </c:barChart>
      <c:catAx>
        <c:axId val="1917253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4176"/>
        <c:crosses val="autoZero"/>
        <c:auto val="1"/>
        <c:lblAlgn val="ctr"/>
        <c:lblOffset val="100"/>
        <c:noMultiLvlLbl val="0"/>
      </c:catAx>
      <c:valAx>
        <c:axId val="21020417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5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986117</xdr:colOff>
      <xdr:row>2</xdr:row>
      <xdr:rowOff>76200</xdr:rowOff>
    </xdr:from>
    <xdr:to>
      <xdr:col>22</xdr:col>
      <xdr:colOff>168088</xdr:colOff>
      <xdr:row>24</xdr:row>
      <xdr:rowOff>25350</xdr:rowOff>
    </xdr:to>
    <xdr:graphicFrame macro="">
      <xdr:nvGraphicFramePr>
        <xdr:cNvPr id="3" name="COL-984667488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963706</xdr:colOff>
      <xdr:row>65</xdr:row>
      <xdr:rowOff>132790</xdr:rowOff>
    </xdr:from>
    <xdr:to>
      <xdr:col>17</xdr:col>
      <xdr:colOff>134470</xdr:colOff>
      <xdr:row>81</xdr:row>
      <xdr:rowOff>5167</xdr:rowOff>
    </xdr:to>
    <xdr:graphicFrame macro="">
      <xdr:nvGraphicFramePr>
        <xdr:cNvPr id="4" name="COL-9846674884 (1)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997324</xdr:colOff>
      <xdr:row>33</xdr:row>
      <xdr:rowOff>112059</xdr:rowOff>
    </xdr:from>
    <xdr:to>
      <xdr:col>22</xdr:col>
      <xdr:colOff>179295</xdr:colOff>
      <xdr:row>55</xdr:row>
      <xdr:rowOff>61209</xdr:rowOff>
    </xdr:to>
    <xdr:graphicFrame macro="">
      <xdr:nvGraphicFramePr>
        <xdr:cNvPr id="5" name="COL-984667488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441960</xdr:colOff>
      <xdr:row>10</xdr:row>
      <xdr:rowOff>15240</xdr:rowOff>
    </xdr:from>
    <xdr:to>
      <xdr:col>19</xdr:col>
      <xdr:colOff>137160</xdr:colOff>
      <xdr:row>31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A8933D-A0F4-4103-BDE6-836E9DC9A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ICG">
      <a:dk1>
        <a:sysClr val="windowText" lastClr="000000"/>
      </a:dk1>
      <a:lt1>
        <a:sysClr val="window" lastClr="FFFFFF"/>
      </a:lt1>
      <a:dk2>
        <a:srgbClr val="CCF2FC"/>
      </a:dk2>
      <a:lt2>
        <a:srgbClr val="EAEBEB"/>
      </a:lt2>
      <a:accent1>
        <a:srgbClr val="002D72"/>
      </a:accent1>
      <a:accent2>
        <a:srgbClr val="00BDF2"/>
      </a:accent2>
      <a:accent3>
        <a:srgbClr val="53565A"/>
      </a:accent3>
      <a:accent4>
        <a:srgbClr val="97999B"/>
      </a:accent4>
      <a:accent5>
        <a:srgbClr val="CB6015"/>
      </a:accent5>
      <a:accent6>
        <a:srgbClr val="FFFFFF"/>
      </a:accent6>
      <a:hlink>
        <a:srgbClr val="00BDF2"/>
      </a:hlink>
      <a:folHlink>
        <a:srgbClr val="00BDF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92"/>
  <sheetViews>
    <sheetView showGridLines="0" topLeftCell="A68" zoomScale="85" zoomScaleNormal="85" workbookViewId="0">
      <selection activeCell="E108" sqref="E108"/>
    </sheetView>
  </sheetViews>
  <sheetFormatPr defaultColWidth="8.7109375" defaultRowHeight="10.199999999999999" x14ac:dyDescent="0.2"/>
  <cols>
    <col min="1" max="2" width="3.7109375" customWidth="1"/>
    <col min="3" max="3" width="20" bestFit="1" customWidth="1"/>
    <col min="4" max="22" width="13.7109375" style="3" customWidth="1"/>
  </cols>
  <sheetData>
    <row r="2" spans="2:23" x14ac:dyDescent="0.2">
      <c r="B2" s="10" t="s">
        <v>63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8"/>
    </row>
    <row r="26" spans="3:26" x14ac:dyDescent="0.2">
      <c r="C26" s="2" t="s">
        <v>4</v>
      </c>
      <c r="D26" s="4">
        <v>43435</v>
      </c>
      <c r="E26" s="4">
        <v>43435</v>
      </c>
      <c r="F26" s="4">
        <v>43374</v>
      </c>
      <c r="G26" s="4">
        <v>43374</v>
      </c>
      <c r="H26" s="4">
        <v>43313</v>
      </c>
      <c r="I26" s="4">
        <v>43252</v>
      </c>
      <c r="J26" s="4">
        <v>43221</v>
      </c>
      <c r="K26" s="4">
        <v>43070</v>
      </c>
      <c r="L26" s="4">
        <v>43040</v>
      </c>
      <c r="M26" s="4">
        <v>43040</v>
      </c>
      <c r="N26" s="4">
        <v>42979</v>
      </c>
      <c r="O26" s="4">
        <v>42552</v>
      </c>
      <c r="P26" s="4">
        <v>42675</v>
      </c>
      <c r="Q26" s="4">
        <v>42614</v>
      </c>
      <c r="R26" s="4">
        <v>42522</v>
      </c>
      <c r="S26" s="4">
        <v>42309</v>
      </c>
      <c r="T26" s="4">
        <v>42278</v>
      </c>
      <c r="U26" s="4">
        <v>42156</v>
      </c>
      <c r="V26" s="4">
        <v>41944</v>
      </c>
    </row>
    <row r="27" spans="3:26" ht="25.05" customHeight="1" x14ac:dyDescent="0.2">
      <c r="C27" s="11" t="s">
        <v>3</v>
      </c>
      <c r="D27" s="5">
        <v>3.4</v>
      </c>
      <c r="E27" s="5">
        <v>2.6</v>
      </c>
      <c r="F27" s="5">
        <v>1.1000000000000001</v>
      </c>
      <c r="G27" s="5">
        <v>1.9</v>
      </c>
      <c r="H27" s="5">
        <v>9.3000000000000007</v>
      </c>
      <c r="I27" s="5">
        <v>7</v>
      </c>
      <c r="J27" s="5">
        <v>1.2</v>
      </c>
      <c r="K27" s="5">
        <v>7.6</v>
      </c>
      <c r="L27" s="5">
        <v>0.1</v>
      </c>
      <c r="M27" s="5">
        <v>0.8</v>
      </c>
      <c r="N27" s="5">
        <v>3.5</v>
      </c>
      <c r="O27" s="5">
        <v>6.4</v>
      </c>
      <c r="P27" s="5">
        <v>3.5</v>
      </c>
      <c r="Q27" s="5">
        <v>0.9</v>
      </c>
      <c r="R27" s="5">
        <v>12.4</v>
      </c>
      <c r="S27" s="5">
        <v>8.5</v>
      </c>
      <c r="T27" s="5">
        <v>2</v>
      </c>
      <c r="U27" s="5">
        <v>0.2</v>
      </c>
      <c r="V27" s="5">
        <v>1.3</v>
      </c>
      <c r="X27" s="1"/>
      <c r="Y27" s="1"/>
      <c r="Z27" s="1"/>
    </row>
    <row r="28" spans="3:26" ht="25.05" customHeight="1" x14ac:dyDescent="0.2">
      <c r="C28" s="12" t="s">
        <v>2</v>
      </c>
      <c r="D28" s="18">
        <v>14.1</v>
      </c>
      <c r="E28" s="18">
        <v>11.4</v>
      </c>
      <c r="F28" s="18">
        <v>13.2</v>
      </c>
      <c r="G28" s="18">
        <v>10.199999999999999</v>
      </c>
      <c r="H28" s="18">
        <v>25.2</v>
      </c>
      <c r="I28" s="18">
        <v>11.1</v>
      </c>
      <c r="J28" s="18">
        <v>12.1</v>
      </c>
      <c r="K28" s="18">
        <v>15.8</v>
      </c>
      <c r="L28" s="18">
        <v>5.9</v>
      </c>
      <c r="M28" s="18">
        <v>10.3</v>
      </c>
      <c r="N28" s="18">
        <v>6.5</v>
      </c>
      <c r="O28" s="18">
        <v>12.2</v>
      </c>
      <c r="P28" s="18">
        <v>11</v>
      </c>
      <c r="Q28" s="18">
        <v>11.7</v>
      </c>
      <c r="R28" s="18">
        <v>10.6</v>
      </c>
      <c r="S28" s="18">
        <v>9.5</v>
      </c>
      <c r="T28" s="18">
        <v>9</v>
      </c>
      <c r="U28" s="18">
        <v>10.5</v>
      </c>
      <c r="V28" s="18">
        <v>11.1</v>
      </c>
      <c r="X28" s="1"/>
      <c r="Y28" s="1"/>
      <c r="Z28" s="1"/>
    </row>
    <row r="29" spans="3:26" ht="33.75" customHeight="1" x14ac:dyDescent="0.2">
      <c r="C29" s="12" t="s">
        <v>0</v>
      </c>
      <c r="D29" s="6" t="s">
        <v>9</v>
      </c>
      <c r="E29" s="6" t="s">
        <v>10</v>
      </c>
      <c r="F29" s="6" t="s">
        <v>13</v>
      </c>
      <c r="G29" s="6" t="s">
        <v>15</v>
      </c>
      <c r="H29" s="6" t="s">
        <v>16</v>
      </c>
      <c r="I29" s="6" t="s">
        <v>60</v>
      </c>
      <c r="J29" s="6" t="s">
        <v>18</v>
      </c>
      <c r="K29" s="6" t="s">
        <v>20</v>
      </c>
      <c r="L29" s="6" t="s">
        <v>22</v>
      </c>
      <c r="M29" s="6" t="s">
        <v>25</v>
      </c>
      <c r="N29" s="6" t="s">
        <v>28</v>
      </c>
      <c r="O29" s="6" t="s">
        <v>29</v>
      </c>
      <c r="P29" s="6" t="s">
        <v>32</v>
      </c>
      <c r="Q29" s="6" t="s">
        <v>33</v>
      </c>
      <c r="R29" s="6" t="s">
        <v>38</v>
      </c>
      <c r="S29" s="6" t="s">
        <v>39</v>
      </c>
      <c r="T29" s="6" t="s">
        <v>41</v>
      </c>
      <c r="U29" s="6" t="s">
        <v>34</v>
      </c>
      <c r="V29" s="6" t="s">
        <v>44</v>
      </c>
    </row>
    <row r="30" spans="3:26" ht="33.75" customHeight="1" x14ac:dyDescent="0.2">
      <c r="C30" s="12" t="s">
        <v>1</v>
      </c>
      <c r="D30" s="6" t="s">
        <v>35</v>
      </c>
      <c r="E30" s="6" t="s">
        <v>11</v>
      </c>
      <c r="F30" s="6" t="s">
        <v>12</v>
      </c>
      <c r="G30" s="6" t="s">
        <v>14</v>
      </c>
      <c r="H30" s="6" t="s">
        <v>17</v>
      </c>
      <c r="I30" s="6" t="s">
        <v>61</v>
      </c>
      <c r="J30" s="6" t="s">
        <v>19</v>
      </c>
      <c r="K30" s="6" t="s">
        <v>21</v>
      </c>
      <c r="L30" s="6" t="s">
        <v>23</v>
      </c>
      <c r="M30" s="6" t="s">
        <v>26</v>
      </c>
      <c r="N30" s="6" t="s">
        <v>27</v>
      </c>
      <c r="O30" s="6" t="s">
        <v>30</v>
      </c>
      <c r="P30" s="6" t="s">
        <v>31</v>
      </c>
      <c r="Q30" s="6" t="s">
        <v>36</v>
      </c>
      <c r="R30" s="6" t="s">
        <v>37</v>
      </c>
      <c r="S30" s="6" t="s">
        <v>40</v>
      </c>
      <c r="T30" s="6" t="s">
        <v>42</v>
      </c>
      <c r="U30" s="6" t="s">
        <v>35</v>
      </c>
      <c r="V30" s="6" t="s">
        <v>43</v>
      </c>
    </row>
    <row r="33" spans="2:23" x14ac:dyDescent="0.2">
      <c r="B33" s="10" t="s">
        <v>64</v>
      </c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8"/>
    </row>
    <row r="58" spans="3:26" ht="30" customHeight="1" x14ac:dyDescent="0.2">
      <c r="C58" s="11" t="s">
        <v>3</v>
      </c>
      <c r="D58" s="5">
        <v>59.7</v>
      </c>
      <c r="E58" s="5">
        <v>0.3</v>
      </c>
      <c r="F58" s="5">
        <v>1.9</v>
      </c>
      <c r="G58" s="5">
        <v>2.5</v>
      </c>
      <c r="H58" s="5">
        <v>0.5</v>
      </c>
      <c r="I58" s="5">
        <v>18.399999999999999</v>
      </c>
      <c r="J58" s="5">
        <v>1.9</v>
      </c>
      <c r="K58" s="5">
        <v>2.6</v>
      </c>
      <c r="L58" s="5">
        <v>0.7</v>
      </c>
      <c r="M58" s="5">
        <v>7.4</v>
      </c>
      <c r="N58" s="5">
        <v>0.9</v>
      </c>
      <c r="O58" s="5">
        <v>8.8000000000000007</v>
      </c>
      <c r="P58" s="5">
        <v>6.3</v>
      </c>
      <c r="Q58" s="5">
        <v>6.2</v>
      </c>
      <c r="R58" s="5">
        <v>2.9</v>
      </c>
      <c r="S58" s="5">
        <v>2.2999999999999998</v>
      </c>
      <c r="T58" s="5">
        <v>10.5</v>
      </c>
      <c r="U58" s="5">
        <v>0.9</v>
      </c>
      <c r="V58" s="5">
        <v>2.1</v>
      </c>
    </row>
    <row r="59" spans="3:26" ht="30" customHeight="1" x14ac:dyDescent="0.2">
      <c r="C59" s="12" t="s">
        <v>8</v>
      </c>
      <c r="D59" s="18">
        <v>7.1</v>
      </c>
      <c r="E59" s="18">
        <v>11</v>
      </c>
      <c r="F59" s="18">
        <v>18.3</v>
      </c>
      <c r="G59" s="18">
        <v>9.1999999999999993</v>
      </c>
      <c r="H59" s="18">
        <v>20.399999999999999</v>
      </c>
      <c r="I59" s="18">
        <v>9.3000000000000007</v>
      </c>
      <c r="J59" s="18">
        <v>14.6</v>
      </c>
      <c r="K59" s="18">
        <v>4.8</v>
      </c>
      <c r="L59" s="18">
        <v>19</v>
      </c>
      <c r="M59" s="18">
        <v>53.8</v>
      </c>
      <c r="N59" s="18">
        <v>7</v>
      </c>
      <c r="O59" s="18">
        <v>68.8</v>
      </c>
      <c r="P59" s="18">
        <v>6</v>
      </c>
      <c r="Q59" s="18">
        <v>17.399999999999999</v>
      </c>
      <c r="R59" s="18">
        <v>6</v>
      </c>
      <c r="S59" s="18">
        <v>7.8</v>
      </c>
      <c r="T59" s="18">
        <v>27.6</v>
      </c>
      <c r="U59" s="18">
        <v>5.6</v>
      </c>
      <c r="V59" s="18">
        <v>5.5</v>
      </c>
      <c r="Z59" s="7"/>
    </row>
    <row r="60" spans="3:26" ht="40.799999999999997" x14ac:dyDescent="0.2">
      <c r="C60" s="12" t="s">
        <v>5</v>
      </c>
      <c r="D60" s="6" t="s">
        <v>67</v>
      </c>
      <c r="E60" s="6" t="s">
        <v>45</v>
      </c>
      <c r="F60" s="6" t="s">
        <v>59</v>
      </c>
      <c r="G60" s="6" t="s">
        <v>46</v>
      </c>
      <c r="H60" s="6" t="s">
        <v>47</v>
      </c>
      <c r="I60" s="6" t="s">
        <v>48</v>
      </c>
      <c r="J60" s="6" t="s">
        <v>38</v>
      </c>
      <c r="K60" s="6" t="s">
        <v>49</v>
      </c>
      <c r="L60" s="6" t="s">
        <v>50</v>
      </c>
      <c r="M60" s="6" t="s">
        <v>51</v>
      </c>
      <c r="N60" s="6" t="s">
        <v>53</v>
      </c>
      <c r="O60" s="6" t="s">
        <v>52</v>
      </c>
      <c r="P60" s="6" t="s">
        <v>24</v>
      </c>
      <c r="Q60" s="6" t="s">
        <v>54</v>
      </c>
      <c r="R60" s="6" t="s">
        <v>55</v>
      </c>
      <c r="S60" s="6" t="s">
        <v>68</v>
      </c>
      <c r="T60" s="6" t="s">
        <v>58</v>
      </c>
      <c r="U60" s="6" t="s">
        <v>57</v>
      </c>
      <c r="V60" s="6" t="s">
        <v>56</v>
      </c>
      <c r="Z60" s="7"/>
    </row>
    <row r="61" spans="3:26" x14ac:dyDescent="0.2">
      <c r="Z61" s="7"/>
    </row>
    <row r="62" spans="3:26" x14ac:dyDescent="0.2">
      <c r="Z62" s="7"/>
    </row>
    <row r="63" spans="3:26" x14ac:dyDescent="0.2">
      <c r="Z63" s="7"/>
    </row>
    <row r="64" spans="3:26" x14ac:dyDescent="0.2">
      <c r="Z64" s="7"/>
    </row>
    <row r="65" spans="2:26" x14ac:dyDescent="0.2">
      <c r="Z65" s="7"/>
    </row>
    <row r="66" spans="2:26" x14ac:dyDescent="0.2">
      <c r="B66" s="10" t="s">
        <v>65</v>
      </c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8"/>
      <c r="Z66" s="7"/>
    </row>
    <row r="82" spans="3:26" x14ac:dyDescent="0.2">
      <c r="D82" s="14" t="s">
        <v>6</v>
      </c>
      <c r="E82" s="15"/>
      <c r="F82" s="15"/>
      <c r="G82" s="15"/>
      <c r="I82" s="16" t="s">
        <v>7</v>
      </c>
      <c r="J82" s="17"/>
      <c r="K82" s="17"/>
      <c r="L82" s="17"/>
      <c r="M82" s="17"/>
      <c r="N82" s="17"/>
      <c r="O82" s="17"/>
      <c r="P82" s="17"/>
      <c r="Q82" s="17"/>
    </row>
    <row r="83" spans="3:26" x14ac:dyDescent="0.2">
      <c r="C83" s="2" t="s">
        <v>4</v>
      </c>
      <c r="D83" s="4">
        <v>42581</v>
      </c>
      <c r="E83" s="4">
        <v>42542</v>
      </c>
      <c r="F83" s="4">
        <v>42310</v>
      </c>
      <c r="G83" s="4">
        <v>41955</v>
      </c>
      <c r="I83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3:26" x14ac:dyDescent="0.2">
      <c r="C84" s="11" t="s">
        <v>3</v>
      </c>
      <c r="D84" s="5">
        <v>6.4</v>
      </c>
      <c r="E84" s="5">
        <v>12.4</v>
      </c>
      <c r="F84" s="5">
        <v>8.5</v>
      </c>
      <c r="G84" s="5">
        <v>1.3</v>
      </c>
      <c r="I84" s="5">
        <v>0.3</v>
      </c>
      <c r="J84" s="5">
        <v>0.5</v>
      </c>
      <c r="K84" s="5">
        <v>1.9</v>
      </c>
      <c r="L84" s="5">
        <v>0.7</v>
      </c>
      <c r="M84" s="5">
        <v>0.9</v>
      </c>
      <c r="N84" s="5">
        <v>6.2</v>
      </c>
      <c r="O84" s="5">
        <v>2.9</v>
      </c>
      <c r="P84" s="5">
        <v>0.9</v>
      </c>
      <c r="Q84" s="5">
        <v>2.1</v>
      </c>
      <c r="R84"/>
      <c r="S84"/>
      <c r="T84"/>
      <c r="U84"/>
      <c r="V84"/>
    </row>
    <row r="85" spans="3:26" ht="40.799999999999997" x14ac:dyDescent="0.2">
      <c r="C85" s="12" t="s">
        <v>0</v>
      </c>
      <c r="D85" s="6" t="s">
        <v>29</v>
      </c>
      <c r="E85" s="6" t="s">
        <v>38</v>
      </c>
      <c r="F85" s="6" t="s">
        <v>39</v>
      </c>
      <c r="G85" s="6" t="s">
        <v>44</v>
      </c>
      <c r="I85" s="6" t="s">
        <v>45</v>
      </c>
      <c r="J85" s="6" t="s">
        <v>47</v>
      </c>
      <c r="K85" s="6" t="s">
        <v>38</v>
      </c>
      <c r="L85" s="6" t="s">
        <v>50</v>
      </c>
      <c r="M85" s="6" t="s">
        <v>53</v>
      </c>
      <c r="N85" s="6" t="s">
        <v>54</v>
      </c>
      <c r="O85" s="6" t="s">
        <v>62</v>
      </c>
      <c r="P85" s="6" t="s">
        <v>57</v>
      </c>
      <c r="Q85" s="6" t="s">
        <v>56</v>
      </c>
      <c r="R85"/>
      <c r="S85"/>
      <c r="T85"/>
      <c r="U85"/>
      <c r="V85"/>
    </row>
    <row r="86" spans="3:26" ht="30.6" x14ac:dyDescent="0.2">
      <c r="C86" s="12" t="s">
        <v>1</v>
      </c>
      <c r="D86" s="6" t="s">
        <v>30</v>
      </c>
      <c r="E86" s="6" t="s">
        <v>37</v>
      </c>
      <c r="F86" s="6" t="s">
        <v>40</v>
      </c>
      <c r="G86" s="6" t="s">
        <v>43</v>
      </c>
      <c r="I86" s="6"/>
      <c r="J86" s="6"/>
      <c r="K86" s="6"/>
      <c r="L86" s="6"/>
      <c r="M86" s="6"/>
      <c r="N86" s="6"/>
      <c r="O86" s="6"/>
      <c r="P86" s="6"/>
      <c r="Q86" s="6"/>
      <c r="R86"/>
      <c r="S86"/>
      <c r="T86"/>
      <c r="U86"/>
      <c r="V86"/>
    </row>
    <row r="87" spans="3:26" x14ac:dyDescent="0.2"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3:26" ht="30" customHeight="1" x14ac:dyDescent="0.2">
      <c r="C88" s="11" t="s">
        <v>2</v>
      </c>
      <c r="D88" s="5">
        <v>12.2</v>
      </c>
      <c r="E88" s="5">
        <v>10.6</v>
      </c>
      <c r="F88" s="5">
        <v>9.5</v>
      </c>
      <c r="G88" s="5">
        <v>11.1</v>
      </c>
      <c r="I88" s="5">
        <v>11</v>
      </c>
      <c r="J88" s="5">
        <v>20.399999999999999</v>
      </c>
      <c r="K88" s="5">
        <v>14.6</v>
      </c>
      <c r="L88" s="5">
        <v>19</v>
      </c>
      <c r="M88" s="5">
        <v>7</v>
      </c>
      <c r="N88" s="5">
        <v>17.399999999999999</v>
      </c>
      <c r="O88" s="5">
        <v>6</v>
      </c>
      <c r="P88" s="5">
        <v>5.6</v>
      </c>
      <c r="Q88" s="5">
        <v>5.5</v>
      </c>
      <c r="R88"/>
      <c r="S88"/>
      <c r="T88"/>
      <c r="U88"/>
      <c r="V88"/>
      <c r="Z88" s="7"/>
    </row>
    <row r="89" spans="3:26" ht="30" customHeight="1" x14ac:dyDescent="0.2">
      <c r="C89" s="12" t="s">
        <v>66</v>
      </c>
      <c r="D89" s="18">
        <f>MEDIAN($D$88:$G$88)</f>
        <v>10.85</v>
      </c>
      <c r="E89" s="18">
        <f t="shared" ref="E89:G89" si="0">MEDIAN($D$88:$G$88)</f>
        <v>10.85</v>
      </c>
      <c r="F89" s="18">
        <f t="shared" si="0"/>
        <v>10.85</v>
      </c>
      <c r="G89" s="18">
        <f t="shared" si="0"/>
        <v>10.85</v>
      </c>
      <c r="I89" s="18">
        <f>MEDIAN($I$88:$Q$88)</f>
        <v>11</v>
      </c>
      <c r="J89" s="18">
        <f t="shared" ref="J89:Q89" si="1">MEDIAN($I$88:$Q$88)</f>
        <v>11</v>
      </c>
      <c r="K89" s="18">
        <f t="shared" si="1"/>
        <v>11</v>
      </c>
      <c r="L89" s="18">
        <f t="shared" si="1"/>
        <v>11</v>
      </c>
      <c r="M89" s="18">
        <f t="shared" si="1"/>
        <v>11</v>
      </c>
      <c r="N89" s="18">
        <f t="shared" si="1"/>
        <v>11</v>
      </c>
      <c r="O89" s="18">
        <f t="shared" si="1"/>
        <v>11</v>
      </c>
      <c r="P89" s="18">
        <f t="shared" si="1"/>
        <v>11</v>
      </c>
      <c r="Q89" s="18">
        <f t="shared" si="1"/>
        <v>11</v>
      </c>
      <c r="R89"/>
      <c r="S89"/>
      <c r="T89"/>
      <c r="U89"/>
      <c r="V89"/>
      <c r="Z89" s="7"/>
    </row>
    <row r="90" spans="3:26" x14ac:dyDescent="0.2">
      <c r="I90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3:26" x14ac:dyDescent="0.2">
      <c r="C91" s="13">
        <f>+D89</f>
        <v>10.85</v>
      </c>
      <c r="R91"/>
      <c r="S91"/>
      <c r="T91"/>
      <c r="U91"/>
      <c r="V91"/>
    </row>
    <row r="92" spans="3:26" x14ac:dyDescent="0.2">
      <c r="C92" s="13">
        <f>+I89</f>
        <v>11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7C4E-6C94-4FD8-8DB2-2045C525D7F7}">
  <dimension ref="B10:P10"/>
  <sheetViews>
    <sheetView tabSelected="1" workbookViewId="0">
      <selection activeCell="H14" sqref="H14"/>
    </sheetView>
  </sheetViews>
  <sheetFormatPr defaultRowHeight="10.199999999999999" x14ac:dyDescent="0.2"/>
  <sheetData>
    <row r="10" spans="2:16" x14ac:dyDescent="0.2">
      <c r="B10">
        <v>0</v>
      </c>
      <c r="C10">
        <v>206.7</v>
      </c>
      <c r="D10">
        <v>141.69999999999999</v>
      </c>
      <c r="E10">
        <v>0</v>
      </c>
      <c r="H10">
        <v>5</v>
      </c>
      <c r="I10">
        <v>8.3000000000000007</v>
      </c>
      <c r="J10">
        <v>31.7</v>
      </c>
      <c r="K10">
        <v>0</v>
      </c>
      <c r="L10">
        <v>15</v>
      </c>
      <c r="M10">
        <v>0</v>
      </c>
      <c r="N10">
        <v>0</v>
      </c>
      <c r="O10">
        <v>0</v>
      </c>
      <c r="P1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 and trading comps</vt:lpstr>
      <vt:lpstr>Sheet1</vt:lpstr>
    </vt:vector>
  </TitlesOfParts>
  <Company>Citigroup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Hutchinson, Matthew [ICG-BCMA]</dc:creator>
  <cp:lastModifiedBy>T.P.V.S. ANIRUDH</cp:lastModifiedBy>
  <dcterms:created xsi:type="dcterms:W3CDTF">2019-05-20T12:39:38Z</dcterms:created>
  <dcterms:modified xsi:type="dcterms:W3CDTF">2019-12-19T20:17:54Z</dcterms:modified>
</cp:coreProperties>
</file>