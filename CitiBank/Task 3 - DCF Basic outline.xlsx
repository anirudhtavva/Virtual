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ANIRUDH\Documents\"/>
    </mc:Choice>
  </mc:AlternateContent>
  <xr:revisionPtr revIDLastSave="0" documentId="13_ncr:1_{62B5A63F-67D4-4317-87A9-ECA958A86C20}" xr6:coauthVersionLast="45" xr6:coauthVersionMax="45" xr10:uidLastSave="{00000000-0000-0000-0000-000000000000}"/>
  <bookViews>
    <workbookView xWindow="-108" yWindow="-108" windowWidth="23256" windowHeight="12576" tabRatio="611" activeTab="1" xr2:uid="{00000000-000D-0000-FFFF-FFFF00000000}"/>
  </bookViews>
  <sheets>
    <sheet name="Charts" sheetId="10" r:id="rId1"/>
    <sheet name="DCF" sheetId="8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FDS_HYPERLINK_TOGGLE_STATE__" hidden="1">"ON"</definedName>
    <definedName name="__FDS_UNIQUE_RANGE_ID_GENERATOR_COUNTER">1740</definedName>
    <definedName name="__IntlFixup" hidden="1">TRUE</definedName>
    <definedName name="_1__FDSAUDITLINK__" hidden="1">{"fdsup://directions/FAT Viewer?action=UPDATE&amp;creator=factset&amp;DYN_ARGS=TRUE&amp;DOC_NAME=FAT:FQL_AUDITING_CLIENT_TEMPLATE.FAT&amp;display_string=Audit&amp;VAR:KEY=GRWZWVKVCJ&amp;VAR:QUERY=RkZfRVBTX0RJTChBTk4sMjAxMSk=&amp;WINDOW=FIRST_POPUP&amp;HEIGHT=450&amp;WIDTH=450&amp;START_MAXIMIZED=","FALSE&amp;VAR:CALENDAR=FIVEDAY&amp;VAR:SYMBOL=508657&amp;VAR:INDEX=0"}</definedName>
    <definedName name="_10__FDSAUDITLINK__" hidden="1">{"fdsup://IBCentral/FAT Viewer?action=UPDATE&amp;creator=factset&amp;DOC_NAME=fat:reuters_annual_shs_src_window.fat&amp;display_string=Audit&amp;DYN_ARGS=TRUE&amp;VAR:ID1=03073E10&amp;VAR:RCODE=FDSSHSOUTDEPS&amp;VAR:SDATE=19990999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annual_source_window.fat&amp;display_string=Audit&amp;DYN_ARGS=TRUE&amp;VAR:ID1=93142210&amp;VAR:RCODE=FCDP&amp;VAR:SDATE=20030899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00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01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02__FDSAUDITLINK__" hidden="1">{"fdsup://directions/FAT Viewer?action=UPDATE&amp;creator=factset&amp;DYN_ARGS=TRUE&amp;DOC_NAME=FAT:FQL_AUDITING_CLIENT_TEMPLATE.FAT&amp;display_string=Audit&amp;VAR:KEY=CRIFQREXIJ&amp;VAR:QUERY=RkZfREVCVF9MVChRVFIsMzkzMzksMzkzMzkp&amp;WINDOW=FIRST_POPUP&amp;HEIGHT=450&amp;WIDTH=450&amp;START_MA","XIMIZED=FALSE&amp;VAR:CALENDAR=FIVEDAY&amp;VAR:SYMBOL=576947&amp;VAR:INDEX=0"}</definedName>
    <definedName name="_1003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04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05__FDSAUDITLINK__" hidden="1">{"fdsup://directions/FAT Viewer?action=UPDATE&amp;creator=factset&amp;DYN_ARGS=TRUE&amp;DOC_NAME=FAT:FQL_AUDITING_CLIENT_TEMPLATE.FAT&amp;display_string=Audit&amp;VAR:KEY=YFYJOHWNML&amp;VAR:QUERY=RkZfREVCVF9MVChRVFIsMzkzMzIsMzkzMzIp&amp;WINDOW=FIRST_POPUP&amp;HEIGHT=450&amp;WIDTH=450&amp;START_MA","XIMIZED=FALSE&amp;VAR:CALENDAR=FIVEDAY&amp;VAR:SYMBOL=576947&amp;VAR:INDEX=0"}</definedName>
    <definedName name="_1006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07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08__FDSAUDITLINK__" hidden="1">{"fdsup://directions/FAT Viewer?action=UPDATE&amp;creator=factset&amp;DYN_ARGS=TRUE&amp;DOC_NAME=FAT:FQL_AUDITING_CLIENT_TEMPLATE.FAT&amp;display_string=Audit&amp;VAR:KEY=QPKVUNYLGR&amp;VAR:QUERY=RkZfREVCVF9MVChRVFIsMzkzMjUsMzkzMjUp&amp;WINDOW=FIRST_POPUP&amp;HEIGHT=450&amp;WIDTH=450&amp;START_MA","XIMIZED=FALSE&amp;VAR:CALENDAR=FIVEDAY&amp;VAR:SYMBOL=576947&amp;VAR:INDEX=0"}</definedName>
    <definedName name="_1009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1__FDSAUDITLINK__" hidden="1">{"fdsup://IBCentral/FAT Viewer?action=UPDATE&amp;creator=factset&amp;DOC_NAME=fat:reuters_annual_source_window.fat&amp;display_string=Audit&amp;DYN_ARGS=TRUE&amp;VAR:ID1=93142210&amp;VAR:RCODE=FCDP&amp;VAR:SDATE=20020899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10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11__FDSAUDITLINK__" hidden="1">{"fdsup://directions/FAT Viewer?action=UPDATE&amp;creator=factset&amp;DYN_ARGS=TRUE&amp;DOC_NAME=FAT:FQL_AUDITING_CLIENT_TEMPLATE.FAT&amp;display_string=Audit&amp;VAR:KEY=GFSDCXWHSD&amp;VAR:QUERY=RkZfREVCVF9MVChRVFIsMzkzMTgsMzkzMTgp&amp;WINDOW=FIRST_POPUP&amp;HEIGHT=450&amp;WIDTH=450&amp;START_MA","XIMIZED=FALSE&amp;VAR:CALENDAR=FIVEDAY&amp;VAR:SYMBOL=576947&amp;VAR:INDEX=0"}</definedName>
    <definedName name="_1012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13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14__FDSAUDITLINK__" hidden="1">{"fdsup://directions/FAT Viewer?action=UPDATE&amp;creator=factset&amp;DYN_ARGS=TRUE&amp;DOC_NAME=FAT:FQL_AUDITING_CLIENT_TEMPLATE.FAT&amp;display_string=Audit&amp;VAR:KEY=OZUDKBINAV&amp;VAR:QUERY=RkZfREVCVF9MVChRVFIsMzkzMTEsMzkzMTEp&amp;WINDOW=FIRST_POPUP&amp;HEIGHT=450&amp;WIDTH=450&amp;START_MA","XIMIZED=FALSE&amp;VAR:CALENDAR=FIVEDAY&amp;VAR:SYMBOL=576947&amp;VAR:INDEX=0"}</definedName>
    <definedName name="_1015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16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17__FDSAUDITLINK__" hidden="1">{"fdsup://directions/FAT Viewer?action=UPDATE&amp;creator=factset&amp;DYN_ARGS=TRUE&amp;DOC_NAME=FAT:FQL_AUDITING_CLIENT_TEMPLATE.FAT&amp;display_string=Audit&amp;VAR:KEY=CFQRQBCRQR&amp;VAR:QUERY=RkZfREVCVF9MVChRVFIsMzkzMDQsMzkzMDQp&amp;WINDOW=FIRST_POPUP&amp;HEIGHT=450&amp;WIDTH=450&amp;START_MA","XIMIZED=FALSE&amp;VAR:CALENDAR=FIVEDAY&amp;VAR:SYMBOL=576947&amp;VAR:INDEX=0"}</definedName>
    <definedName name="_1018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19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2__FDSAUDITLINK__" hidden="1">{"fdsup://IBCentral/FAT Viewer?action=UPDATE&amp;creator=factset&amp;DOC_NAME=fat:reuters_annual_source_window.fat&amp;display_string=Audit&amp;DYN_ARGS=TRUE&amp;VAR:ID1=93142210&amp;VAR:RCODE=FCDP&amp;VAR:SDATE=20010899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20__FDSAUDITLINK__" hidden="1">{"fdsup://directions/FAT Viewer?action=UPDATE&amp;creator=factset&amp;DYN_ARGS=TRUE&amp;DOC_NAME=FAT:FQL_AUDITING_CLIENT_TEMPLATE.FAT&amp;display_string=Audit&amp;VAR:KEY=EBCHMHAHAZ&amp;VAR:QUERY=RkZfREVCVF9MVChRVFIsMzkyOTcsMzkyOTcp&amp;WINDOW=FIRST_POPUP&amp;HEIGHT=450&amp;WIDTH=450&amp;START_MA","XIMIZED=FALSE&amp;VAR:CALENDAR=FIVEDAY&amp;VAR:SYMBOL=576947&amp;VAR:INDEX=0"}</definedName>
    <definedName name="_1021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22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23__FDSAUDITLINK__" hidden="1">{"fdsup://directions/FAT Viewer?action=UPDATE&amp;creator=factset&amp;DYN_ARGS=TRUE&amp;DOC_NAME=FAT:FQL_AUDITING_CLIENT_TEMPLATE.FAT&amp;display_string=Audit&amp;VAR:KEY=WXIXOTQHKH&amp;VAR:QUERY=RkZfREVCVF9MVChRVFIsMzkyOTAsMzkyOTAp&amp;WINDOW=FIRST_POPUP&amp;HEIGHT=450&amp;WIDTH=450&amp;START_MA","XIMIZED=FALSE&amp;VAR:CALENDAR=FIVEDAY&amp;VAR:SYMBOL=576947&amp;VAR:INDEX=0"}</definedName>
    <definedName name="_1024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25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26__FDSAUDITLINK__" hidden="1">{"fdsup://directions/FAT Viewer?action=UPDATE&amp;creator=factset&amp;DYN_ARGS=TRUE&amp;DOC_NAME=FAT:FQL_AUDITING_CLIENT_TEMPLATE.FAT&amp;display_string=Audit&amp;VAR:KEY=YVEZWPKRAD&amp;VAR:QUERY=RkZfREVCVF9MVChRVFIsMzkyODMsMzkyODMp&amp;WINDOW=FIRST_POPUP&amp;HEIGHT=450&amp;WIDTH=450&amp;START_MA","XIMIZED=FALSE&amp;VAR:CALENDAR=FIVEDAY&amp;VAR:SYMBOL=576947&amp;VAR:INDEX=0"}</definedName>
    <definedName name="_1027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28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29__FDSAUDITLINK__" hidden="1">{"fdsup://directions/FAT Viewer?action=UPDATE&amp;creator=factset&amp;DYN_ARGS=TRUE&amp;DOC_NAME=FAT:FQL_AUDITING_CLIENT_TEMPLATE.FAT&amp;display_string=Audit&amp;VAR:KEY=MRCPMRIBAD&amp;VAR:QUERY=RkZfREVCVF9MVChRVFIsMzkyNzYsMzkyNzYp&amp;WINDOW=FIRST_POPUP&amp;HEIGHT=450&amp;WIDTH=450&amp;START_MA","XIMIZED=FALSE&amp;VAR:CALENDAR=FIVEDAY&amp;VAR:SYMBOL=576947&amp;VAR:INDEX=0"}</definedName>
    <definedName name="_103__FDSAUDITLINK__" hidden="1">{"fdsup://IBCentral/FAT Viewer?action=UPDATE&amp;creator=factset&amp;DOC_NAME=fat:reuters_annual_source_window.fat&amp;display_string=Audit&amp;DYN_ARGS=TRUE&amp;VAR:ID1=93142210&amp;VAR:RCODE=FCDP&amp;VAR:SDATE=20000899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30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31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32__FDSAUDITLINK__" hidden="1">{"fdsup://directions/FAT Viewer?action=UPDATE&amp;creator=factset&amp;DYN_ARGS=TRUE&amp;DOC_NAME=FAT:FQL_AUDITING_CLIENT_TEMPLATE.FAT&amp;display_string=Audit&amp;VAR:KEY=MLGBGLKBOV&amp;VAR:QUERY=RkZfREVCVF9MVChRVFIsMzkyNjksMzkyNjkp&amp;WINDOW=FIRST_POPUP&amp;HEIGHT=450&amp;WIDTH=450&amp;START_MA","XIMIZED=FALSE&amp;VAR:CALENDAR=FIVEDAY&amp;VAR:SYMBOL=576947&amp;VAR:INDEX=0"}</definedName>
    <definedName name="_1033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34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35__FDSAUDITLINK__" hidden="1">{"fdsup://directions/FAT Viewer?action=UPDATE&amp;creator=factset&amp;DYN_ARGS=TRUE&amp;DOC_NAME=FAT:FQL_AUDITING_CLIENT_TEMPLATE.FAT&amp;display_string=Audit&amp;VAR:KEY=OPMHQDYTGB&amp;VAR:QUERY=RkZfREVCVF9MVChRVFIsMzkyNjIsMzkyNjIp&amp;WINDOW=FIRST_POPUP&amp;HEIGHT=450&amp;WIDTH=450&amp;START_MA","XIMIZED=FALSE&amp;VAR:CALENDAR=FIVEDAY&amp;VAR:SYMBOL=576947&amp;VAR:INDEX=0"}</definedName>
    <definedName name="_1036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37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38__FDSAUDITLINK__" hidden="1">{"fdsup://directions/FAT Viewer?action=UPDATE&amp;creator=factset&amp;DYN_ARGS=TRUE&amp;DOC_NAME=FAT:FQL_AUDITING_CLIENT_TEMPLATE.FAT&amp;display_string=Audit&amp;VAR:KEY=CPMHEXKPEF&amp;VAR:QUERY=RkZfREVCVF9MVChRVFIsMzkyNTUsMzkyNTUp&amp;WINDOW=FIRST_POPUP&amp;HEIGHT=450&amp;WIDTH=450&amp;START_MA","XIMIZED=FALSE&amp;VAR:CALENDAR=FIVEDAY&amp;VAR:SYMBOL=576947&amp;VAR:INDEX=0"}</definedName>
    <definedName name="_1039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4__FDSAUDITLINK__" hidden="1">{"fdsup://IBCentral/FAT Viewer?action=UPDATE&amp;creator=factset&amp;DOC_NAME=fat:reuters_annual_source_window.fat&amp;display_string=Audit&amp;DYN_ARGS=TRUE&amp;VAR:ID1=93142210&amp;VAR:RCODE=FCDP&amp;VAR:SDATE=19990899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40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41__FDSAUDITLINK__" hidden="1">{"fdsup://directions/FAT Viewer?action=UPDATE&amp;creator=factset&amp;DYN_ARGS=TRUE&amp;DOC_NAME=FAT:FQL_AUDITING_CLIENT_TEMPLATE.FAT&amp;display_string=Audit&amp;VAR:KEY=QXMPERUTAH&amp;VAR:QUERY=RkZfREVCVF9MVChRVFIsMzkyNDgsMzkyNDgp&amp;WINDOW=FIRST_POPUP&amp;HEIGHT=450&amp;WIDTH=450&amp;START_MA","XIMIZED=FALSE&amp;VAR:CALENDAR=FIVEDAY&amp;VAR:SYMBOL=576947&amp;VAR:INDEX=0"}</definedName>
    <definedName name="_1042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43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44__FDSAUDITLINK__" hidden="1">{"fdsup://directions/FAT Viewer?action=UPDATE&amp;creator=factset&amp;DYN_ARGS=TRUE&amp;DOC_NAME=FAT:FQL_AUDITING_CLIENT_TEMPLATE.FAT&amp;display_string=Audit&amp;VAR:KEY=UHERKFOPEX&amp;VAR:QUERY=RkZfREVCVF9MVChRVFIsMzkyNDEsMzkyNDEp&amp;WINDOW=FIRST_POPUP&amp;HEIGHT=450&amp;WIDTH=450&amp;START_MA","XIMIZED=FALSE&amp;VAR:CALENDAR=FIVEDAY&amp;VAR:SYMBOL=576947&amp;VAR:INDEX=0"}</definedName>
    <definedName name="_1045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46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47__FDSAUDITLINK__" hidden="1">{"fdsup://directions/FAT Viewer?action=UPDATE&amp;creator=factset&amp;DYN_ARGS=TRUE&amp;DOC_NAME=FAT:FQL_AUDITING_CLIENT_TEMPLATE.FAT&amp;display_string=Audit&amp;VAR:KEY=MVUVYBQNOV&amp;VAR:QUERY=RkZfREVCVF9MVChRVFIsMzkyMzQsMzkyMzQp&amp;WINDOW=FIRST_POPUP&amp;HEIGHT=450&amp;WIDTH=450&amp;START_MA","XIMIZED=FALSE&amp;VAR:CALENDAR=FIVEDAY&amp;VAR:SYMBOL=576947&amp;VAR:INDEX=0"}</definedName>
    <definedName name="_1048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49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5__FDSAUDITLINK__" hidden="1">{"fdsup://IBCentral/FAT Viewer?action=UPDATE&amp;creator=factset&amp;DOC_NAME=fat:reuters_annual_shs_src_window.fat&amp;display_string=Audit&amp;DYN_ARGS=TRUE&amp;VAR:ID1=12665010&amp;VAR:RCODE=FDSSHSOUTDEPS&amp;VAR:SDATE=20081299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50__FDSAUDITLINK__" hidden="1">{"fdsup://directions/FAT Viewer?action=UPDATE&amp;creator=factset&amp;DYN_ARGS=TRUE&amp;DOC_NAME=FAT:FQL_AUDITING_CLIENT_TEMPLATE.FAT&amp;display_string=Audit&amp;VAR:KEY=SPCTQNELGN&amp;VAR:QUERY=RkZfREVCVF9MVChRVFIsMzkyMjcsMzkyMjcp&amp;WINDOW=FIRST_POPUP&amp;HEIGHT=450&amp;WIDTH=450&amp;START_MA","XIMIZED=FALSE&amp;VAR:CALENDAR=FIVEDAY&amp;VAR:SYMBOL=576947&amp;VAR:INDEX=0"}</definedName>
    <definedName name="_1051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52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53__FDSAUDITLINK__" hidden="1">{"fdsup://directions/FAT Viewer?action=UPDATE&amp;creator=factset&amp;DYN_ARGS=TRUE&amp;DOC_NAME=FAT:FQL_AUDITING_CLIENT_TEMPLATE.FAT&amp;display_string=Audit&amp;VAR:KEY=CDKVGXYHIF&amp;VAR:QUERY=RkZfREVCVF9MVChRVFIsMzkyMjAsMzkyMjAp&amp;WINDOW=FIRST_POPUP&amp;HEIGHT=450&amp;WIDTH=450&amp;START_MA","XIMIZED=FALSE&amp;VAR:CALENDAR=FIVEDAY&amp;VAR:SYMBOL=576947&amp;VAR:INDEX=0"}</definedName>
    <definedName name="_1054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55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56__FDSAUDITLINK__" hidden="1">{"fdsup://directions/FAT Viewer?action=UPDATE&amp;creator=factset&amp;DYN_ARGS=TRUE&amp;DOC_NAME=FAT:FQL_AUDITING_CLIENT_TEMPLATE.FAT&amp;display_string=Audit&amp;VAR:KEY=YNUFGTETUF&amp;VAR:QUERY=RkZfREVCVF9MVChRVFIsMzkyMTMsMzkyMTMp&amp;WINDOW=FIRST_POPUP&amp;HEIGHT=450&amp;WIDTH=450&amp;START_MA","XIMIZED=FALSE&amp;VAR:CALENDAR=FIVEDAY&amp;VAR:SYMBOL=576947&amp;VAR:INDEX=0"}</definedName>
    <definedName name="_1057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58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59__FDSAUDITLINK__" hidden="1">{"fdsup://directions/FAT Viewer?action=UPDATE&amp;creator=factset&amp;DYN_ARGS=TRUE&amp;DOC_NAME=FAT:FQL_AUDITING_CLIENT_TEMPLATE.FAT&amp;display_string=Audit&amp;VAR:KEY=EJYJOXALGN&amp;VAR:QUERY=RkZfREVCVF9MVChRVFIsMzkyMDYsMzkyMDYp&amp;WINDOW=FIRST_POPUP&amp;HEIGHT=450&amp;WIDTH=450&amp;START_MA","XIMIZED=FALSE&amp;VAR:CALENDAR=FIVEDAY&amp;VAR:SYMBOL=576947&amp;VAR:INDEX=0"}</definedName>
    <definedName name="_106__FDSAUDITLINK__" hidden="1">{"fdsup://IBCentral/FAT Viewer?action=UPDATE&amp;creator=factset&amp;DOC_NAME=fat:reuters_annual_shs_src_window.fat&amp;display_string=Audit&amp;DYN_ARGS=TRUE&amp;VAR:ID1=12665010&amp;VAR:RCODE=FDSSHSOUTDEPS&amp;VAR:SDATE=20071299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60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61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62__FDSAUDITLINK__" hidden="1">{"fdsup://directions/FAT Viewer?action=UPDATE&amp;creator=factset&amp;DYN_ARGS=TRUE&amp;DOC_NAME=FAT:FQL_AUDITING_CLIENT_TEMPLATE.FAT&amp;display_string=Audit&amp;VAR:KEY=IHABQFMNMX&amp;VAR:QUERY=RkZfREVCVF9MVChRVFIsMzkxOTksMzkxOTkp&amp;WINDOW=FIRST_POPUP&amp;HEIGHT=450&amp;WIDTH=450&amp;START_MA","XIMIZED=FALSE&amp;VAR:CALENDAR=FIVEDAY&amp;VAR:SYMBOL=576947&amp;VAR:INDEX=0"}</definedName>
    <definedName name="_1063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64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65__FDSAUDITLINK__" hidden="1">{"fdsup://directions/FAT Viewer?action=UPDATE&amp;creator=factset&amp;DYN_ARGS=TRUE&amp;DOC_NAME=FAT:FQL_AUDITING_CLIENT_TEMPLATE.FAT&amp;display_string=Audit&amp;VAR:KEY=CZKFSPWPCT&amp;VAR:QUERY=RkZfREVCVF9MVChRVFIsMzkxOTIsMzkxOTIp&amp;WINDOW=FIRST_POPUP&amp;HEIGHT=450&amp;WIDTH=450&amp;START_MA","XIMIZED=FALSE&amp;VAR:CALENDAR=FIVEDAY&amp;VAR:SYMBOL=576947&amp;VAR:INDEX=0"}</definedName>
    <definedName name="_1066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67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68__FDSAUDITLINK__" hidden="1">{"fdsup://directions/FAT Viewer?action=UPDATE&amp;creator=factset&amp;DYN_ARGS=TRUE&amp;DOC_NAME=FAT:FQL_AUDITING_CLIENT_TEMPLATE.FAT&amp;display_string=Audit&amp;VAR:KEY=MPOTKBAFUR&amp;VAR:QUERY=RkZfREVCVF9MVChRVFIsMzkxODUsMzkxODUp&amp;WINDOW=FIRST_POPUP&amp;HEIGHT=450&amp;WIDTH=450&amp;START_MA","XIMIZED=FALSE&amp;VAR:CALENDAR=FIVEDAY&amp;VAR:SYMBOL=576947&amp;VAR:INDEX=0"}</definedName>
    <definedName name="_1069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7__FDSAUDITLINK__" hidden="1">{"fdsup://IBCentral/FAT Viewer?action=UPDATE&amp;creator=factset&amp;DOC_NAME=fat:reuters_annual_shs_src_window.fat&amp;display_string=Audit&amp;DYN_ARGS=TRUE&amp;VAR:ID1=12665010&amp;VAR:RCODE=FDSSHSOUTDEPS&amp;VAR:SDATE=20061299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70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71__FDSAUDITLINK__" hidden="1">{"fdsup://directions/FAT Viewer?action=UPDATE&amp;creator=factset&amp;DYN_ARGS=TRUE&amp;DOC_NAME=FAT:FQL_AUDITING_CLIENT_TEMPLATE.FAT&amp;display_string=Audit&amp;VAR:KEY=EXQBKRSFYF&amp;VAR:QUERY=RkZfREVCVF9MVChRVFIsMzkxNzgsMzkxNzgp&amp;WINDOW=FIRST_POPUP&amp;HEIGHT=450&amp;WIDTH=450&amp;START_MA","XIMIZED=FALSE&amp;VAR:CALENDAR=FIVEDAY&amp;VAR:SYMBOL=576947&amp;VAR:INDEX=0"}</definedName>
    <definedName name="_1072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73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74__FDSAUDITLINK__" hidden="1">{"fdsup://directions/FAT Viewer?action=UPDATE&amp;creator=factset&amp;DYN_ARGS=TRUE&amp;DOC_NAME=FAT:FQL_AUDITING_CLIENT_TEMPLATE.FAT&amp;display_string=Audit&amp;VAR:KEY=WNSBKNMPID&amp;VAR:QUERY=RkZfREVCVF9MVChRVFIsMzkxNzEsMzkxNzEp&amp;WINDOW=FIRST_POPUP&amp;HEIGHT=450&amp;WIDTH=450&amp;START_MA","XIMIZED=FALSE&amp;VAR:CALENDAR=FIVEDAY&amp;VAR:SYMBOL=576947&amp;VAR:INDEX=0"}</definedName>
    <definedName name="_1075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76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77__FDSAUDITLINK__" hidden="1">{"fdsup://directions/FAT Viewer?action=UPDATE&amp;creator=factset&amp;DYN_ARGS=TRUE&amp;DOC_NAME=FAT:FQL_AUDITING_CLIENT_TEMPLATE.FAT&amp;display_string=Audit&amp;VAR:KEY=CZALUTINSL&amp;VAR:QUERY=RkZfREVCVF9MVChRVFIsMzkxNjQsMzkxNjQp&amp;WINDOW=FIRST_POPUP&amp;HEIGHT=450&amp;WIDTH=450&amp;START_MA","XIMIZED=FALSE&amp;VAR:CALENDAR=FIVEDAY&amp;VAR:SYMBOL=576947&amp;VAR:INDEX=0"}</definedName>
    <definedName name="_1078__FDSAUDITLINK__" hidden="1">{"fdsup://directions/FAT Viewer?action=UPDATE&amp;creator=factset&amp;DYN_ARGS=TRUE&amp;DOC_NAME=FAT:FQL_AUDITING_CLIENT_TEMPLATE.FAT&amp;display_string=Audit&amp;VAR:KEY=KHKBGDEFMH&amp;VAR:QUERY=RkZfREVCVF9MVChRVFIsMzkxNTcsMzkxNTcp&amp;WINDOW=FIRST_POPUP&amp;HEIGHT=450&amp;WIDTH=450&amp;START_MA","XIMIZED=FALSE&amp;VAR:CALENDAR=FIVEDAY&amp;VAR:SYMBOL=576947&amp;VAR:INDEX=0"}</definedName>
    <definedName name="_1079__FDSAUDITLINK__" hidden="1">{"fdsup://directions/FAT Viewer?action=UPDATE&amp;creator=factset&amp;DYN_ARGS=TRUE&amp;DOC_NAME=FAT:FQL_AUDITING_CLIENT_TEMPLATE.FAT&amp;display_string=Audit&amp;VAR:KEY=IRARUFMZMX&amp;VAR:QUERY=RkZfREVCVF9MVChRVFIsMzkxNTAsMzkxNTAp&amp;WINDOW=FIRST_POPUP&amp;HEIGHT=450&amp;WIDTH=450&amp;START_MA","XIMIZED=FALSE&amp;VAR:CALENDAR=FIVEDAY&amp;VAR:SYMBOL=576947&amp;VAR:INDEX=0"}</definedName>
    <definedName name="_108__FDSAUDITLINK__" hidden="1">{"fdsup://IBCentral/FAT Viewer?action=UPDATE&amp;creator=factset&amp;DOC_NAME=fat:reuters_annual_shs_src_window.fat&amp;display_string=Audit&amp;DYN_ARGS=TRUE&amp;VAR:ID1=12665010&amp;VAR:RCODE=FDSSHSOUTDEPS&amp;VAR:SDATE=20051299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80__FDSAUDITLINK__" hidden="1">{"fdsup://directions/FAT Viewer?action=UPDATE&amp;creator=factset&amp;DYN_ARGS=TRUE&amp;DOC_NAME=FAT:FQL_AUDITING_CLIENT_TEMPLATE.FAT&amp;display_string=Audit&amp;VAR:KEY=ARADSZAJMH&amp;VAR:QUERY=RkZfREVCVF9MVChRVFIsMzkxNDMsMzkxNDMp&amp;WINDOW=FIRST_POPUP&amp;HEIGHT=450&amp;WIDTH=450&amp;START_MA","XIMIZED=FALSE&amp;VAR:CALENDAR=FIVEDAY&amp;VAR:SYMBOL=576947&amp;VAR:INDEX=0"}</definedName>
    <definedName name="_1081__FDSAUDITLINK__" hidden="1">{"fdsup://directions/FAT Viewer?action=UPDATE&amp;creator=factset&amp;DYN_ARGS=TRUE&amp;DOC_NAME=FAT:FQL_AUDITING_CLIENT_TEMPLATE.FAT&amp;display_string=Audit&amp;VAR:KEY=CLEPUZKBKV&amp;VAR:QUERY=RkZfREVCVF9MVChRVFIsMzkxMzYsMzkxMzYp&amp;WINDOW=FIRST_POPUP&amp;HEIGHT=450&amp;WIDTH=450&amp;START_MA","XIMIZED=FALSE&amp;VAR:CALENDAR=FIVEDAY&amp;VAR:SYMBOL=576947&amp;VAR:INDEX=0"}</definedName>
    <definedName name="_1082__FDSAUDITLINK__" hidden="1">{"fdsup://directions/FAT Viewer?action=UPDATE&amp;creator=factset&amp;DYN_ARGS=TRUE&amp;DOC_NAME=FAT:FQL_AUDITING_CLIENT_TEMPLATE.FAT&amp;display_string=Audit&amp;VAR:KEY=QNMFUFIHUD&amp;VAR:QUERY=RkZfREVCVF9MVChRVFIsMzkxMjksMzkxMjkp&amp;WINDOW=FIRST_POPUP&amp;HEIGHT=450&amp;WIDTH=450&amp;START_MA","XIMIZED=FALSE&amp;VAR:CALENDAR=FIVEDAY&amp;VAR:SYMBOL=576947&amp;VAR:INDEX=0"}</definedName>
    <definedName name="_1083__FDSAUDITLINK__" hidden="1">{"fdsup://directions/FAT Viewer?action=UPDATE&amp;creator=factset&amp;DYN_ARGS=TRUE&amp;DOC_NAME=FAT:FQL_AUDITING_CLIENT_TEMPLATE.FAT&amp;display_string=Audit&amp;VAR:KEY=GVQLGNSZQL&amp;VAR:QUERY=RkZfREVCVF9MVChRVFIsMzkxMjIsMzkxMjIp&amp;WINDOW=FIRST_POPUP&amp;HEIGHT=450&amp;WIDTH=450&amp;START_MA","XIMIZED=FALSE&amp;VAR:CALENDAR=FIVEDAY&amp;VAR:SYMBOL=576947&amp;VAR:INDEX=0"}</definedName>
    <definedName name="_1084__FDSAUDITLINK__" hidden="1">{"fdsup://directions/FAT Viewer?action=UPDATE&amp;creator=factset&amp;DYN_ARGS=TRUE&amp;DOC_NAME=FAT:FQL_AUDITING_CLIENT_TEMPLATE.FAT&amp;display_string=Audit&amp;VAR:KEY=ELWJOFYDUD&amp;VAR:QUERY=RkZfREVCVF9MVChRVFIsMzkxMTUsMzkxMTUp&amp;WINDOW=FIRST_POPUP&amp;HEIGHT=450&amp;WIDTH=450&amp;START_MA","XIMIZED=FALSE&amp;VAR:CALENDAR=FIVEDAY&amp;VAR:SYMBOL=576947&amp;VAR:INDEX=0"}</definedName>
    <definedName name="_1085__FDSAUDITLINK__" hidden="1">{"fdsup://directions/FAT Viewer?action=UPDATE&amp;creator=factset&amp;DYN_ARGS=TRUE&amp;DOC_NAME=FAT:FQL_AUDITING_CLIENT_TEMPLATE.FAT&amp;display_string=Audit&amp;VAR:KEY=QJITYBUZUH&amp;VAR:QUERY=RkZfREVCVF9MVChRVFIsMzkxMDgsMzkxMDgp&amp;WINDOW=FIRST_POPUP&amp;HEIGHT=450&amp;WIDTH=450&amp;START_MA","XIMIZED=FALSE&amp;VAR:CALENDAR=FIVEDAY&amp;VAR:SYMBOL=576947&amp;VAR:INDEX=0"}</definedName>
    <definedName name="_1086__FDSAUDITLINK__" hidden="1">{"fdsup://directions/FAT Viewer?action=UPDATE&amp;creator=factset&amp;DYN_ARGS=TRUE&amp;DOC_NAME=FAT:FQL_AUDITING_CLIENT_TEMPLATE.FAT&amp;display_string=Audit&amp;VAR:KEY=YZWPSDSVSR&amp;VAR:QUERY=RkZfREVCVF9MVChRVFIsMzkxMDEsMzkxMDEp&amp;WINDOW=FIRST_POPUP&amp;HEIGHT=450&amp;WIDTH=450&amp;START_MA","XIMIZED=FALSE&amp;VAR:CALENDAR=FIVEDAY&amp;VAR:SYMBOL=576947&amp;VAR:INDEX=0"}</definedName>
    <definedName name="_1087__FDSAUDITLINK__" hidden="1">{"fdsup://directions/FAT Viewer?action=UPDATE&amp;creator=factset&amp;DYN_ARGS=TRUE&amp;DOC_NAME=FAT:FQL_AUDITING_CLIENT_TEMPLATE.FAT&amp;display_string=Audit&amp;VAR:KEY=ADUTAVQHSB&amp;VAR:QUERY=RkZfREVCVF9MVChRVFIsMzkwOTQsMzkwOTQp&amp;WINDOW=FIRST_POPUP&amp;HEIGHT=450&amp;WIDTH=450&amp;START_MA","XIMIZED=FALSE&amp;VAR:CALENDAR=FIVEDAY&amp;VAR:SYMBOL=576947&amp;VAR:INDEX=0"}</definedName>
    <definedName name="_1088__FDSAUDITLINK__" hidden="1">{"fdsup://directions/FAT Viewer?action=UPDATE&amp;creator=factset&amp;DYN_ARGS=TRUE&amp;DOC_NAME=FAT:FQL_AUDITING_CLIENT_TEMPLATE.FAT&amp;display_string=Audit&amp;VAR:KEY=MTWNIZSTGJ&amp;VAR:QUERY=RkZfREVCVF9MVChRVFIsMzkwODcsMzkwODcp&amp;WINDOW=FIRST_POPUP&amp;HEIGHT=450&amp;WIDTH=450&amp;START_MA","XIMIZED=FALSE&amp;VAR:CALENDAR=FIVEDAY&amp;VAR:SYMBOL=576947&amp;VAR:INDEX=0"}</definedName>
    <definedName name="_1089__FDSAUDITLINK__" hidden="1">{"fdsup://directions/FAT Viewer?action=UPDATE&amp;creator=factset&amp;DYN_ARGS=TRUE&amp;DOC_NAME=FAT:FQL_AUDITING_CLIENT_TEMPLATE.FAT&amp;display_string=Audit&amp;VAR:KEY=IPETOLGPON&amp;VAR:QUERY=RkZfREVCVF9MVChRVFIsMzkwODAsMzkwODAp&amp;WINDOW=FIRST_POPUP&amp;HEIGHT=450&amp;WIDTH=450&amp;START_MA","XIMIZED=FALSE&amp;VAR:CALENDAR=FIVEDAY&amp;VAR:SYMBOL=576947&amp;VAR:INDEX=0"}</definedName>
    <definedName name="_109__FDSAUDITLINK__" hidden="1">{"fdsup://IBCentral/FAT Viewer?action=UPDATE&amp;creator=factset&amp;DOC_NAME=fat:reuters_annual_shs_src_window.fat&amp;display_string=Audit&amp;DYN_ARGS=TRUE&amp;VAR:ID1=12665010&amp;VAR:RCODE=FDSSHSOUTDEPS&amp;VAR:SDATE=20041299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ETWPOJENML&amp;VAR:QUERY=RkZfREVCVF9MVChRVFIsMzkwNzMsMzkwNzMp&amp;WINDOW=FIRST_POPUP&amp;HEIGHT=450&amp;WIDTH=450&amp;START_MA","XIMIZED=FALSE&amp;VAR:CALENDAR=FIVEDAY&amp;VAR:SYMBOL=576947&amp;VAR:INDEX=0"}</definedName>
    <definedName name="_1091__FDSAUDITLINK__" hidden="1">{"fdsup://directions/FAT Viewer?action=UPDATE&amp;creator=factset&amp;DYN_ARGS=TRUE&amp;DOC_NAME=FAT:FQL_AUDITING_CLIENT_TEMPLATE.FAT&amp;display_string=Audit&amp;VAR:KEY=YPUDQJEVAH&amp;VAR:QUERY=RkZfREVCVF9MVChRVFIsMzkwNjYsMzkwNjYp&amp;WINDOW=FIRST_POPUP&amp;HEIGHT=450&amp;WIDTH=450&amp;START_MA","XIMIZED=FALSE&amp;VAR:CALENDAR=FIVEDAY&amp;VAR:SYMBOL=576947&amp;VAR:INDEX=0"}</definedName>
    <definedName name="_1092__FDSAUDITLINK__" hidden="1">{"fdsup://directions/FAT Viewer?action=UPDATE&amp;creator=factset&amp;DYN_ARGS=TRUE&amp;DOC_NAME=FAT:FQL_AUDITING_CLIENT_TEMPLATE.FAT&amp;display_string=Audit&amp;VAR:KEY=ULSZOBWNOJ&amp;VAR:QUERY=RkZfREVCVF9MVChRVFIsMzkwNTksMzkwNTkp&amp;WINDOW=FIRST_POPUP&amp;HEIGHT=450&amp;WIDTH=450&amp;START_MA","XIMIZED=FALSE&amp;VAR:CALENDAR=FIVEDAY&amp;VAR:SYMBOL=576947&amp;VAR:INDEX=0"}</definedName>
    <definedName name="_1093__FDSAUDITLINK__" hidden="1">{"fdsup://directions/FAT Viewer?action=UPDATE&amp;creator=factset&amp;DYN_ARGS=TRUE&amp;DOC_NAME=FAT:FQL_AUDITING_CLIENT_TEMPLATE.FAT&amp;display_string=Audit&amp;VAR:KEY=GTKDSBANUH&amp;VAR:QUERY=RkZfREVCVF9MVChRVFIsMzkwNTIsMzkwNTIp&amp;WINDOW=FIRST_POPUP&amp;HEIGHT=450&amp;WIDTH=450&amp;START_MA","XIMIZED=FALSE&amp;VAR:CALENDAR=FIVEDAY&amp;VAR:SYMBOL=576947&amp;VAR:INDEX=0"}</definedName>
    <definedName name="_1094__FDSAUDITLINK__" hidden="1">{"fdsup://directions/FAT Viewer?action=UPDATE&amp;creator=factset&amp;DYN_ARGS=TRUE&amp;DOC_NAME=FAT:FQL_AUDITING_CLIENT_TEMPLATE.FAT&amp;display_string=Audit&amp;VAR:KEY=KNYLWLELYV&amp;VAR:QUERY=RkZfREVCVF9MVChRVFIsMzkwNDUsMzkwNDUp&amp;WINDOW=FIRST_POPUP&amp;HEIGHT=450&amp;WIDTH=450&amp;START_MA","XIMIZED=FALSE&amp;VAR:CALENDAR=FIVEDAY&amp;VAR:SYMBOL=576947&amp;VAR:INDEX=0"}</definedName>
    <definedName name="_1095__FDSAUDITLINK__" hidden="1">{"fdsup://directions/FAT Viewer?action=UPDATE&amp;creator=factset&amp;DYN_ARGS=TRUE&amp;DOC_NAME=FAT:FQL_AUDITING_CLIENT_TEMPLATE.FAT&amp;display_string=Audit&amp;VAR:KEY=QHKNEJMDSF&amp;VAR:QUERY=RkZfREVCVF9MVChRVFIsMzkwMzgsMzkwMzgp&amp;WINDOW=FIRST_POPUP&amp;HEIGHT=450&amp;WIDTH=450&amp;START_MA","XIMIZED=FALSE&amp;VAR:CALENDAR=FIVEDAY&amp;VAR:SYMBOL=576947&amp;VAR:INDEX=0"}</definedName>
    <definedName name="_1096__FDSAUDITLINK__" hidden="1">{"fdsup://directions/FAT Viewer?action=UPDATE&amp;creator=factset&amp;DYN_ARGS=TRUE&amp;DOC_NAME=FAT:FQL_AUDITING_CLIENT_TEMPLATE.FAT&amp;display_string=Audit&amp;VAR:KEY=EBSTOZIXYV&amp;VAR:QUERY=RkZfREVCVF9MVChRVFIsMzkwMzEsMzkwMzEp&amp;WINDOW=FIRST_POPUP&amp;HEIGHT=450&amp;WIDTH=450&amp;START_MA","XIMIZED=FALSE&amp;VAR:CALENDAR=FIVEDAY&amp;VAR:SYMBOL=576947&amp;VAR:INDEX=0"}</definedName>
    <definedName name="_1097__FDSAUDITLINK__" hidden="1">{"fdsup://directions/FAT Viewer?action=UPDATE&amp;creator=factset&amp;DYN_ARGS=TRUE&amp;DOC_NAME=FAT:FQL_AUDITING_CLIENT_TEMPLATE.FAT&amp;display_string=Audit&amp;VAR:KEY=BGVCVKVGBU&amp;VAR:QUERY=RkZfREVCVF9MVChTRU1JLDM5MDI0LDM5MDI0KQ==&amp;WINDOW=FIRST_POPUP&amp;HEIGHT=450&amp;WIDTH=450&amp;STAR","T_MAXIMIZED=FALSE&amp;VAR:CALENDAR=FIVEDAY&amp;VAR:SYMBOL=456486&amp;VAR:INDEX=0"}</definedName>
    <definedName name="_1098__FDSAUDITLINK__" hidden="1">{"fdsup://directions/FAT Viewer?action=UPDATE&amp;creator=factset&amp;DYN_ARGS=TRUE&amp;DOC_NAME=FAT:FQL_AUDITING_CLIENT_TEMPLATE.FAT&amp;display_string=Audit&amp;VAR:KEY=DKHSFEJGFS&amp;VAR:QUERY=RkZfREVCVF9MVChTRU1JLDQwMTE2LDQwMTE2KQ==&amp;WINDOW=FIRST_POPUP&amp;HEIGHT=450&amp;WIDTH=450&amp;STAR","T_MAXIMIZED=FALSE&amp;VAR:CALENDAR=FIVEDAY&amp;VAR:SYMBOL=456486&amp;VAR:INDEX=0"}</definedName>
    <definedName name="_1099__FDSAUDITLINK__" hidden="1">{"fdsup://directions/FAT Viewer?action=UPDATE&amp;creator=factset&amp;DYN_ARGS=TRUE&amp;DOC_NAME=FAT:FQL_AUDITING_CLIENT_TEMPLATE.FAT&amp;display_string=Audit&amp;VAR:KEY=LKJKLOTANU&amp;VAR:QUERY=RkZfREVCVF9MVChTRU1JLDQwMTA5LDQwMTA5KQ==&amp;WINDOW=FIRST_POPUP&amp;HEIGHT=450&amp;WIDTH=450&amp;STAR","T_MAXIMIZED=FALSE&amp;VAR:CALENDAR=FIVEDAY&amp;VAR:SYMBOL=456486&amp;VAR:INDEX=0"}</definedName>
    <definedName name="_11__FDSAUDITLINK__" hidden="1">{"fdsup://IBCentral/FAT Viewer?action=UPDATE&amp;creator=factset&amp;DOC_NAME=fat:reuters_annual_source_window.fat&amp;display_string=Audit&amp;DYN_ARGS=TRUE&amp;VAR:ID1=03073E10&amp;VAR:RCODE=FCDP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annual_shs_src_window.fat&amp;display_string=Audit&amp;DYN_ARGS=TRUE&amp;VAR:ID1=12665010&amp;VAR:RCODE=FDSSHSOUTDEPS&amp;VAR:SDATE=20031299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00__FDSAUDITLINK__" hidden="1">{"fdsup://directions/FAT Viewer?action=UPDATE&amp;creator=factset&amp;DYN_ARGS=TRUE&amp;DOC_NAME=FAT:FQL_AUDITING_CLIENT_TEMPLATE.FAT&amp;display_string=Audit&amp;VAR:KEY=TSNWBUTILO&amp;VAR:QUERY=RkZfREVCVF9MVChTRU1JLDQwMTAyLDQwMTAyKQ==&amp;WINDOW=FIRST_POPUP&amp;HEIGHT=450&amp;WIDTH=450&amp;STAR","T_MAXIMIZED=FALSE&amp;VAR:CALENDAR=FIVEDAY&amp;VAR:SYMBOL=456486&amp;VAR:INDEX=0"}</definedName>
    <definedName name="_1101__FDSAUDITLINK__" hidden="1">{"fdsup://directions/FAT Viewer?action=UPDATE&amp;creator=factset&amp;DYN_ARGS=TRUE&amp;DOC_NAME=FAT:FQL_AUDITING_CLIENT_TEMPLATE.FAT&amp;display_string=Audit&amp;VAR:KEY=VEPYLQBGXI&amp;VAR:QUERY=RkZfREVCVF9MVChTRU1JLDQwMDk1LDQwMDk1KQ==&amp;WINDOW=FIRST_POPUP&amp;HEIGHT=450&amp;WIDTH=450&amp;STAR","T_MAXIMIZED=FALSE&amp;VAR:CALENDAR=FIVEDAY&amp;VAR:SYMBOL=456486&amp;VAR:INDEX=0"}</definedName>
    <definedName name="_1102__FDSAUDITLINK__" hidden="1">{"fdsup://directions/FAT Viewer?action=UPDATE&amp;creator=factset&amp;DYN_ARGS=TRUE&amp;DOC_NAME=FAT:FQL_AUDITING_CLIENT_TEMPLATE.FAT&amp;display_string=Audit&amp;VAR:KEY=PCFOPCBEXE&amp;VAR:QUERY=RkZfREVCVF9MVChTRU1JLDQwMDg4LDQwMDg4KQ==&amp;WINDOW=FIRST_POPUP&amp;HEIGHT=450&amp;WIDTH=450&amp;STAR","T_MAXIMIZED=FALSE&amp;VAR:CALENDAR=FIVEDAY&amp;VAR:SYMBOL=456486&amp;VAR:INDEX=0"}</definedName>
    <definedName name="_1103__FDSAUDITLINK__" hidden="1">{"fdsup://directions/FAT Viewer?action=UPDATE&amp;creator=factset&amp;DYN_ARGS=TRUE&amp;DOC_NAME=FAT:FQL_AUDITING_CLIENT_TEMPLATE.FAT&amp;display_string=Audit&amp;VAR:KEY=ZEFKDEJGZE&amp;VAR:QUERY=RkZfREVCVF9MVChTRU1JLDQwMDgxLDQwMDgxKQ==&amp;WINDOW=FIRST_POPUP&amp;HEIGHT=450&amp;WIDTH=450&amp;STAR","T_MAXIMIZED=FALSE&amp;VAR:CALENDAR=FIVEDAY&amp;VAR:SYMBOL=456486&amp;VAR:INDEX=0"}</definedName>
    <definedName name="_110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0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06__FDSAUDITLINK__" hidden="1">{"fdsup://directions/FAT Viewer?action=UPDATE&amp;creator=factset&amp;DYN_ARGS=TRUE&amp;DOC_NAME=FAT:FQL_AUDITING_CLIENT_TEMPLATE.FAT&amp;display_string=Audit&amp;VAR:KEY=JOXGXATUNG&amp;VAR:QUERY=RkZfREVCVF9MVChTRU1JLDQwMDc0LDQwMDc0KQ==&amp;WINDOW=FIRST_POPUP&amp;HEIGHT=450&amp;WIDTH=450&amp;STAR","T_MAXIMIZED=FALSE&amp;VAR:CALENDAR=FIVEDAY&amp;VAR:SYMBOL=456486&amp;VAR:INDEX=0"}</definedName>
    <definedName name="_110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0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09__FDSAUDITLINK__" hidden="1">{"fdsup://directions/FAT Viewer?action=UPDATE&amp;creator=factset&amp;DYN_ARGS=TRUE&amp;DOC_NAME=FAT:FQL_AUDITING_CLIENT_TEMPLATE.FAT&amp;display_string=Audit&amp;VAR:KEY=XGRWBWREZE&amp;VAR:QUERY=RkZfREVCVF9MVChTRU1JLDQwMDY3LDQwMDY3KQ==&amp;WINDOW=FIRST_POPUP&amp;HEIGHT=450&amp;WIDTH=450&amp;STAR","T_MAXIMIZED=FALSE&amp;VAR:CALENDAR=FIVEDAY&amp;VAR:SYMBOL=456486&amp;VAR:INDEX=0"}</definedName>
    <definedName name="_111__FDSAUDITLINK__" hidden="1">{"fdsup://IBCentral/FAT Viewer?action=UPDATE&amp;creator=factset&amp;DOC_NAME=fat:reuters_annual_shs_src_window.fat&amp;display_string=Audit&amp;DYN_ARGS=TRUE&amp;VAR:ID1=12665010&amp;VAR:RCODE=FDSSHSOUTDEPS&amp;VAR:SDATE=20021299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1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1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12__FDSAUDITLINK__" hidden="1">{"fdsup://directions/FAT Viewer?action=UPDATE&amp;creator=factset&amp;DYN_ARGS=TRUE&amp;DOC_NAME=FAT:FQL_AUDITING_CLIENT_TEMPLATE.FAT&amp;display_string=Audit&amp;VAR:KEY=LANGFMXCFG&amp;VAR:QUERY=RkZfREVCVF9MVChTRU1JLDQwMDYwLDQwMDYwKQ==&amp;WINDOW=FIRST_POPUP&amp;HEIGHT=450&amp;WIDTH=450&amp;STAR","T_MAXIMIZED=FALSE&amp;VAR:CALENDAR=FIVEDAY&amp;VAR:SYMBOL=456486&amp;VAR:INDEX=0"}</definedName>
    <definedName name="_111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1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15__FDSAUDITLINK__" hidden="1">{"fdsup://directions/FAT Viewer?action=UPDATE&amp;creator=factset&amp;DYN_ARGS=TRUE&amp;DOC_NAME=FAT:FQL_AUDITING_CLIENT_TEMPLATE.FAT&amp;display_string=Audit&amp;VAR:KEY=JWPCVMJWXM&amp;VAR:QUERY=RkZfREVCVF9MVChTRU1JLDQwMDUzLDQwMDUzKQ==&amp;WINDOW=FIRST_POPUP&amp;HEIGHT=450&amp;WIDTH=450&amp;STAR","T_MAXIMIZED=FALSE&amp;VAR:CALENDAR=FIVEDAY&amp;VAR:SYMBOL=456486&amp;VAR:INDEX=0"}</definedName>
    <definedName name="_111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1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18__FDSAUDITLINK__" hidden="1">{"fdsup://directions/FAT Viewer?action=UPDATE&amp;creator=factset&amp;DYN_ARGS=TRUE&amp;DOC_NAME=FAT:FQL_AUDITING_CLIENT_TEMPLATE.FAT&amp;display_string=Audit&amp;VAR:KEY=LCFIDUXSXK&amp;VAR:QUERY=RkZfREVCVF9MVChTRU1JLDQwMDQ2LDQwMDQ2KQ==&amp;WINDOW=FIRST_POPUP&amp;HEIGHT=450&amp;WIDTH=450&amp;STAR","T_MAXIMIZED=FALSE&amp;VAR:CALENDAR=FIVEDAY&amp;VAR:SYMBOL=456486&amp;VAR:INDEX=0"}</definedName>
    <definedName name="_111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2__FDSAUDITLINK__" hidden="1">{"fdsup://IBCentral/FAT Viewer?action=UPDATE&amp;creator=factset&amp;DOC_NAME=fat:reuters_annual_shs_src_window.fat&amp;display_string=Audit&amp;DYN_ARGS=TRUE&amp;VAR:ID1=12665010&amp;VAR:RCODE=FDSSHSOUTDEPS&amp;VAR:SDATE=20011299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2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21__FDSAUDITLINK__" hidden="1">{"fdsup://directions/FAT Viewer?action=UPDATE&amp;creator=factset&amp;DYN_ARGS=TRUE&amp;DOC_NAME=FAT:FQL_AUDITING_CLIENT_TEMPLATE.FAT&amp;display_string=Audit&amp;VAR:KEY=LKPIFEZODO&amp;VAR:QUERY=RkZfREVCVF9MVChTRU1JLDQwMDM5LDQwMDM5KQ==&amp;WINDOW=FIRST_POPUP&amp;HEIGHT=450&amp;WIDTH=450&amp;STAR","T_MAXIMIZED=FALSE&amp;VAR:CALENDAR=FIVEDAY&amp;VAR:SYMBOL=456486&amp;VAR:INDEX=0"}</definedName>
    <definedName name="_1122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23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24__FDSAUDITLINK__" hidden="1">{"fdsup://directions/FAT Viewer?action=UPDATE&amp;creator=factset&amp;DYN_ARGS=TRUE&amp;DOC_NAME=FAT:FQL_AUDITING_CLIENT_TEMPLATE.FAT&amp;display_string=Audit&amp;VAR:KEY=JOBQVODOHY&amp;VAR:QUERY=RkZfREVCVF9MVChTRU1JLDQwMDMyLDQwMDMyKQ==&amp;WINDOW=FIRST_POPUP&amp;HEIGHT=450&amp;WIDTH=450&amp;STAR","T_MAXIMIZED=FALSE&amp;VAR:CALENDAR=FIVEDAY&amp;VAR:SYMBOL=456486&amp;VAR:INDEX=0"}</definedName>
    <definedName name="_1125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26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27__FDSAUDITLINK__" hidden="1">{"fdsup://directions/FAT Viewer?action=UPDATE&amp;creator=factset&amp;DYN_ARGS=TRUE&amp;DOC_NAME=FAT:FQL_AUDITING_CLIENT_TEMPLATE.FAT&amp;display_string=Audit&amp;VAR:KEY=XIJCHSJMNS&amp;VAR:QUERY=RkZfREVCVF9MVChTRU1JLDQwMDI1LDQwMDI1KQ==&amp;WINDOW=FIRST_POPUP&amp;HEIGHT=450&amp;WIDTH=450&amp;STAR","T_MAXIMIZED=FALSE&amp;VAR:CALENDAR=FIVEDAY&amp;VAR:SYMBOL=456486&amp;VAR:INDEX=0"}</definedName>
    <definedName name="_1128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29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3__FDSAUDITLINK__" hidden="1">{"fdsup://IBCentral/FAT Viewer?action=UPDATE&amp;creator=factset&amp;DOC_NAME=fat:reuters_annual_shs_src_window.fat&amp;display_string=Audit&amp;DYN_ARGS=TRUE&amp;VAR:ID1=12665010&amp;VAR:RCODE=FDSSHSOUTDEPS&amp;VAR:SDATE=20001299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30__FDSAUDITLINK__" hidden="1">{"fdsup://directions/FAT Viewer?action=UPDATE&amp;creator=factset&amp;DYN_ARGS=TRUE&amp;DOC_NAME=FAT:FQL_AUDITING_CLIENT_TEMPLATE.FAT&amp;display_string=Audit&amp;VAR:KEY=NKDENMBWHQ&amp;VAR:QUERY=RkZfREVCVF9MVChTRU1JLDQwMDE4LDQwMDE4KQ==&amp;WINDOW=FIRST_POPUP&amp;HEIGHT=450&amp;WIDTH=450&amp;STAR","T_MAXIMIZED=FALSE&amp;VAR:CALENDAR=FIVEDAY&amp;VAR:SYMBOL=456486&amp;VAR:INDEX=0"}</definedName>
    <definedName name="_1131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32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33__FDSAUDITLINK__" hidden="1">{"fdsup://directions/FAT Viewer?action=UPDATE&amp;creator=factset&amp;DYN_ARGS=TRUE&amp;DOC_NAME=FAT:FQL_AUDITING_CLIENT_TEMPLATE.FAT&amp;display_string=Audit&amp;VAR:KEY=FCXEXGRCNI&amp;VAR:QUERY=RkZfREVCVF9MVChTRU1JLDQwMDExLDQwMDExKQ==&amp;WINDOW=FIRST_POPUP&amp;HEIGHT=450&amp;WIDTH=450&amp;STAR","T_MAXIMIZED=FALSE&amp;VAR:CALENDAR=FIVEDAY&amp;VAR:SYMBOL=456486&amp;VAR:INDEX=0"}</definedName>
    <definedName name="_113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3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36__FDSAUDITLINK__" hidden="1">{"fdsup://directions/FAT Viewer?action=UPDATE&amp;creator=factset&amp;DYN_ARGS=TRUE&amp;DOC_NAME=FAT:FQL_AUDITING_CLIENT_TEMPLATE.FAT&amp;display_string=Audit&amp;VAR:KEY=JUTANWLOPY&amp;VAR:QUERY=RkZfREVCVF9MVChTRU1JLDQwMDA0LDQwMDA0KQ==&amp;WINDOW=FIRST_POPUP&amp;HEIGHT=450&amp;WIDTH=450&amp;STAR","T_MAXIMIZED=FALSE&amp;VAR:CALENDAR=FIVEDAY&amp;VAR:SYMBOL=456486&amp;VAR:INDEX=0"}</definedName>
    <definedName name="_113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3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39__FDSAUDITLINK__" hidden="1">{"fdsup://directions/FAT Viewer?action=UPDATE&amp;creator=factset&amp;DYN_ARGS=TRUE&amp;DOC_NAME=FAT:FQL_AUDITING_CLIENT_TEMPLATE.FAT&amp;display_string=Audit&amp;VAR:KEY=TWRADKNIRO&amp;VAR:QUERY=RkZfREVCVF9MVChTRU1JLDM5OTk3LDM5OTk3KQ==&amp;WINDOW=FIRST_POPUP&amp;HEIGHT=450&amp;WIDTH=450&amp;STAR","T_MAXIMIZED=FALSE&amp;VAR:CALENDAR=FIVEDAY&amp;VAR:SYMBOL=456486&amp;VAR:INDEX=0"}</definedName>
    <definedName name="_114__FDSAUDITLINK__" hidden="1">{"fdsup://IBCentral/FAT Viewer?action=UPDATE&amp;creator=factset&amp;DOC_NAME=fat:reuters_annual_shs_src_window.fat&amp;display_string=Audit&amp;DYN_ARGS=TRUE&amp;VAR:ID1=12665010&amp;VAR:RCODE=FDSSHSOUTDEPS&amp;VAR:SDATE=19991299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4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4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42__FDSAUDITLINK__" hidden="1">{"fdsup://directions/FAT Viewer?action=UPDATE&amp;creator=factset&amp;DYN_ARGS=TRUE&amp;DOC_NAME=FAT:FQL_AUDITING_CLIENT_TEMPLATE.FAT&amp;display_string=Audit&amp;VAR:KEY=TUJOPQNUXK&amp;VAR:QUERY=RkZfREVCVF9MVChTRU1JLDM5OTkwLDM5OTkwKQ==&amp;WINDOW=FIRST_POPUP&amp;HEIGHT=450&amp;WIDTH=450&amp;STAR","T_MAXIMIZED=FALSE&amp;VAR:CALENDAR=FIVEDAY&amp;VAR:SYMBOL=456486&amp;VAR:INDEX=0"}</definedName>
    <definedName name="_114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4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45__FDSAUDITLINK__" hidden="1">{"fdsup://directions/FAT Viewer?action=UPDATE&amp;creator=factset&amp;DYN_ARGS=TRUE&amp;DOC_NAME=FAT:FQL_AUDITING_CLIENT_TEMPLATE.FAT&amp;display_string=Audit&amp;VAR:KEY=ZSJMPEDIBI&amp;VAR:QUERY=RkZfREVCVF9MVChTRU1JLDM5OTgzLDM5OTgzKQ==&amp;WINDOW=FIRST_POPUP&amp;HEIGHT=450&amp;WIDTH=450&amp;STAR","T_MAXIMIZED=FALSE&amp;VAR:CALENDAR=FIVEDAY&amp;VAR:SYMBOL=456486&amp;VAR:INDEX=0"}</definedName>
    <definedName name="_114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4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48__FDSAUDITLINK__" hidden="1">{"fdsup://directions/FAT Viewer?action=UPDATE&amp;creator=factset&amp;DYN_ARGS=TRUE&amp;DOC_NAME=FAT:FQL_AUDITING_CLIENT_TEMPLATE.FAT&amp;display_string=Audit&amp;VAR:KEY=XGTIVEFWLU&amp;VAR:QUERY=RkZfREVCVF9MVChTRU1JLDM5OTc2LDM5OTc2KQ==&amp;WINDOW=FIRST_POPUP&amp;HEIGHT=450&amp;WIDTH=450&amp;STAR","T_MAXIMIZED=FALSE&amp;VAR:CALENDAR=FIVEDAY&amp;VAR:SYMBOL=456486&amp;VAR:INDEX=0"}</definedName>
    <definedName name="_114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5__FDSAUDITLINK__" hidden="1">{"fdsup://IBCentral/FAT Viewer?action=UPDATE&amp;creator=factset&amp;DOC_NAME=fat:reuters_annual_source_window.fat&amp;display_string=Audit&amp;DYN_ARGS=TRUE&amp;VAR:ID1=12665010&amp;VAR:RCODE=FCDP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5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51__FDSAUDITLINK__" hidden="1">{"fdsup://directions/FAT Viewer?action=UPDATE&amp;creator=factset&amp;DYN_ARGS=TRUE&amp;DOC_NAME=FAT:FQL_AUDITING_CLIENT_TEMPLATE.FAT&amp;display_string=Audit&amp;VAR:KEY=ZQVKHURUTC&amp;VAR:QUERY=RkZfREVCVF9MVChTRU1JLDM5OTY5LDM5OTY5KQ==&amp;WINDOW=FIRST_POPUP&amp;HEIGHT=450&amp;WIDTH=450&amp;STAR","T_MAXIMIZED=FALSE&amp;VAR:CALENDAR=FIVEDAY&amp;VAR:SYMBOL=456486&amp;VAR:INDEX=0"}</definedName>
    <definedName name="_1152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53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54__FDSAUDITLINK__" hidden="1">{"fdsup://directions/FAT Viewer?action=UPDATE&amp;creator=factset&amp;DYN_ARGS=TRUE&amp;DOC_NAME=FAT:FQL_AUDITING_CLIENT_TEMPLATE.FAT&amp;display_string=Audit&amp;VAR:KEY=TSPMLKPSNC&amp;VAR:QUERY=RkZfREVCVF9MVChTRU1JLDM5OTYyLDM5OTYyKQ==&amp;WINDOW=FIRST_POPUP&amp;HEIGHT=450&amp;WIDTH=450&amp;STAR","T_MAXIMIZED=FALSE&amp;VAR:CALENDAR=FIVEDAY&amp;VAR:SYMBOL=456486&amp;VAR:INDEX=0"}</definedName>
    <definedName name="_1155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56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57__FDSAUDITLINK__" hidden="1">{"fdsup://directions/FAT Viewer?action=UPDATE&amp;creator=factset&amp;DYN_ARGS=TRUE&amp;DOC_NAME=FAT:FQL_AUDITING_CLIENT_TEMPLATE.FAT&amp;display_string=Audit&amp;VAR:KEY=LIVUFKPCJU&amp;VAR:QUERY=RkZfREVCVF9MVChTRU1JLDM5OTU1LDM5OTU1KQ==&amp;WINDOW=FIRST_POPUP&amp;HEIGHT=450&amp;WIDTH=450&amp;STAR","T_MAXIMIZED=FALSE&amp;VAR:CALENDAR=FIVEDAY&amp;VAR:SYMBOL=456486&amp;VAR:INDEX=0"}</definedName>
    <definedName name="_1158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59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6__FDSAUDITLINK__" hidden="1">{"fdsup://IBCentral/FAT Viewer?action=UPDATE&amp;creator=factset&amp;DOC_NAME=fat:reuters_annual_source_window.fat&amp;display_string=Audit&amp;DYN_ARGS=TRUE&amp;VAR:ID1=12665010&amp;VAR:RCODE=FCDP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60__FDSAUDITLINK__" hidden="1">{"fdsup://directions/FAT Viewer?action=UPDATE&amp;creator=factset&amp;DYN_ARGS=TRUE&amp;DOC_NAME=FAT:FQL_AUDITING_CLIENT_TEMPLATE.FAT&amp;display_string=Audit&amp;VAR:KEY=RELUBSRSZO&amp;VAR:QUERY=RkZfREVCVF9MVChTRU1JLDM5OTQ4LDM5OTQ4KQ==&amp;WINDOW=FIRST_POPUP&amp;HEIGHT=450&amp;WIDTH=450&amp;STAR","T_MAXIMIZED=FALSE&amp;VAR:CALENDAR=FIVEDAY&amp;VAR:SYMBOL=456486&amp;VAR:INDEX=0"}</definedName>
    <definedName name="_1161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62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63__FDSAUDITLINK__" hidden="1">{"fdsup://directions/FAT Viewer?action=UPDATE&amp;creator=factset&amp;DYN_ARGS=TRUE&amp;DOC_NAME=FAT:FQL_AUDITING_CLIENT_TEMPLATE.FAT&amp;display_string=Audit&amp;VAR:KEY=PAXATKXIFS&amp;VAR:QUERY=RkZfREVCVF9MVChTRU1JLDM5OTQxLDM5OTQxKQ==&amp;WINDOW=FIRST_POPUP&amp;HEIGHT=450&amp;WIDTH=450&amp;STAR","T_MAXIMIZED=FALSE&amp;VAR:CALENDAR=FIVEDAY&amp;VAR:SYMBOL=456486&amp;VAR:INDEX=0"}</definedName>
    <definedName name="_116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6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66__FDSAUDITLINK__" hidden="1">{"fdsup://directions/FAT Viewer?action=UPDATE&amp;creator=factset&amp;DYN_ARGS=TRUE&amp;DOC_NAME=FAT:FQL_AUDITING_CLIENT_TEMPLATE.FAT&amp;display_string=Audit&amp;VAR:KEY=ZKTIVSNAHM&amp;VAR:QUERY=RkZfREVCVF9MVChTRU1JLDM5OTM0LDM5OTM0KQ==&amp;WINDOW=FIRST_POPUP&amp;HEIGHT=450&amp;WIDTH=450&amp;STAR","T_MAXIMIZED=FALSE&amp;VAR:CALENDAR=FIVEDAY&amp;VAR:SYMBOL=456486&amp;VAR:INDEX=0"}</definedName>
    <definedName name="_116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6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69__FDSAUDITLINK__" hidden="1">{"fdsup://directions/FAT Viewer?action=UPDATE&amp;creator=factset&amp;DYN_ARGS=TRUE&amp;DOC_NAME=FAT:FQL_AUDITING_CLIENT_TEMPLATE.FAT&amp;display_string=Audit&amp;VAR:KEY=RWNSNCDWXQ&amp;VAR:QUERY=RkZfREVCVF9MVChTRU1JLDM5OTI3LDM5OTI3KQ==&amp;WINDOW=FIRST_POPUP&amp;HEIGHT=450&amp;WIDTH=450&amp;STAR","T_MAXIMIZED=FALSE&amp;VAR:CALENDAR=FIVEDAY&amp;VAR:SYMBOL=456486&amp;VAR:INDEX=0"}</definedName>
    <definedName name="_117__FDSAUDITLINK__" hidden="1">{"fdsup://IBCentral/FAT Viewer?action=UPDATE&amp;creator=factset&amp;DOC_NAME=fat:reuters_annual_source_window.fat&amp;display_string=Audit&amp;DYN_ARGS=TRUE&amp;VAR:ID1=12665010&amp;VAR:RCODE=FCDP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7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7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72__FDSAUDITLINK__" hidden="1">{"fdsup://directions/FAT Viewer?action=UPDATE&amp;creator=factset&amp;DYN_ARGS=TRUE&amp;DOC_NAME=FAT:FQL_AUDITING_CLIENT_TEMPLATE.FAT&amp;display_string=Audit&amp;VAR:KEY=RETSXKNSVK&amp;VAR:QUERY=RkZfREVCVF9MVChTRU1JLDM5OTIwLDM5OTIwKQ==&amp;WINDOW=FIRST_POPUP&amp;HEIGHT=450&amp;WIDTH=450&amp;STAR","T_MAXIMIZED=FALSE&amp;VAR:CALENDAR=FIVEDAY&amp;VAR:SYMBOL=456486&amp;VAR:INDEX=0"}</definedName>
    <definedName name="_117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7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75__FDSAUDITLINK__" hidden="1">{"fdsup://directions/FAT Viewer?action=UPDATE&amp;creator=factset&amp;DYN_ARGS=TRUE&amp;DOC_NAME=FAT:FQL_AUDITING_CLIENT_TEMPLATE.FAT&amp;display_string=Audit&amp;VAR:KEY=TEBGRCPYNQ&amp;VAR:QUERY=RkZfREVCVF9MVChTRU1JLDM5OTEzLDM5OTEzKQ==&amp;WINDOW=FIRST_POPUP&amp;HEIGHT=450&amp;WIDTH=450&amp;STAR","T_MAXIMIZED=FALSE&amp;VAR:CALENDAR=FIVEDAY&amp;VAR:SYMBOL=456486&amp;VAR:INDEX=0"}</definedName>
    <definedName name="_117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7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78__FDSAUDITLINK__" hidden="1">{"fdsup://directions/FAT Viewer?action=UPDATE&amp;creator=factset&amp;DYN_ARGS=TRUE&amp;DOC_NAME=FAT:FQL_AUDITING_CLIENT_TEMPLATE.FAT&amp;display_string=Audit&amp;VAR:KEY=VQPMJEDIPA&amp;VAR:QUERY=RkZfREVCVF9MVChTRU1JLDM5OTA2LDM5OTA2KQ==&amp;WINDOW=FIRST_POPUP&amp;HEIGHT=450&amp;WIDTH=450&amp;STAR","T_MAXIMIZED=FALSE&amp;VAR:CALENDAR=FIVEDAY&amp;VAR:SYMBOL=456486&amp;VAR:INDEX=0"}</definedName>
    <definedName name="_117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8__FDSAUDITLINK__" hidden="1">{"fdsup://IBCentral/FAT Viewer?action=UPDATE&amp;creator=factset&amp;DOC_NAME=fat:reuters_annual_source_window.fat&amp;display_string=Audit&amp;DYN_ARGS=TRUE&amp;VAR:ID1=12665010&amp;VAR:RCODE=FCDP&amp;VAR:SDATE=20051299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8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81__FDSAUDITLINK__" hidden="1">{"fdsup://directions/FAT Viewer?action=UPDATE&amp;creator=factset&amp;DYN_ARGS=TRUE&amp;DOC_NAME=FAT:FQL_AUDITING_CLIENT_TEMPLATE.FAT&amp;display_string=Audit&amp;VAR:KEY=JOBGLOLGPG&amp;VAR:QUERY=RkZfREVCVF9MVChTRU1JLDM5ODk5LDM5ODk5KQ==&amp;WINDOW=FIRST_POPUP&amp;HEIGHT=450&amp;WIDTH=450&amp;STAR","T_MAXIMIZED=FALSE&amp;VAR:CALENDAR=FIVEDAY&amp;VAR:SYMBOL=456486&amp;VAR:INDEX=0"}</definedName>
    <definedName name="_1182__FDSAUDITLINK__" hidden="1">{"fdsup://directions/FAT Viewer?action=UPDATE&amp;creator=factset&amp;DYN_ARGS=TRUE&amp;DOC_NAME=FAT:FQL_AUDITING_CLIENT_TEMPLATE.FAT&amp;display_string=Audit&amp;VAR:KEY=LEJMXCDARU&amp;VAR:QUERY=RkZfREVCVF9MVChTRU1JLDM5ODkyLDM5ODkyKQ==&amp;WINDOW=FIRST_POPUP&amp;HEIGHT=450&amp;WIDTH=450&amp;STAR","T_MAXIMIZED=FALSE&amp;VAR:CALENDAR=FIVEDAY&amp;VAR:SYMBOL=456486&amp;VAR:INDEX=0"}</definedName>
    <definedName name="_1183__FDSAUDITLINK__" hidden="1">{"fdsup://directions/FAT Viewer?action=UPDATE&amp;creator=factset&amp;DYN_ARGS=TRUE&amp;DOC_NAME=FAT:FQL_AUDITING_CLIENT_TEMPLATE.FAT&amp;display_string=Audit&amp;VAR:KEY=FSBUDGNQHO&amp;VAR:QUERY=RkZfREVCVF9MVChTRU1JLDM5ODg1LDM5ODg1KQ==&amp;WINDOW=FIRST_POPUP&amp;HEIGHT=450&amp;WIDTH=450&amp;STAR","T_MAXIMIZED=FALSE&amp;VAR:CALENDAR=FIVEDAY&amp;VAR:SYMBOL=456486&amp;VAR:INDEX=0"}</definedName>
    <definedName name="_1184__FDSAUDITLINK__" hidden="1">{"fdsup://directions/FAT Viewer?action=UPDATE&amp;creator=factset&amp;DYN_ARGS=TRUE&amp;DOC_NAME=FAT:FQL_AUDITING_CLIENT_TEMPLATE.FAT&amp;display_string=Audit&amp;VAR:KEY=FYDCRKHUDU&amp;VAR:QUERY=RkZfREVCVF9MVChTRU1JLDM5ODc4LDM5ODc4KQ==&amp;WINDOW=FIRST_POPUP&amp;HEIGHT=450&amp;WIDTH=450&amp;STAR","T_MAXIMIZED=FALSE&amp;VAR:CALENDAR=FIVEDAY&amp;VAR:SYMBOL=456486&amp;VAR:INDEX=0"}</definedName>
    <definedName name="_1185__FDSAUDITLINK__" hidden="1">{"fdsup://directions/FAT Viewer?action=UPDATE&amp;creator=factset&amp;DYN_ARGS=TRUE&amp;DOC_NAME=FAT:FQL_AUDITING_CLIENT_TEMPLATE.FAT&amp;display_string=Audit&amp;VAR:KEY=LQNQVYPGTU&amp;VAR:QUERY=RkZfREVCVF9MVChTRU1JLDM5ODcxLDM5ODcxKQ==&amp;WINDOW=FIRST_POPUP&amp;HEIGHT=450&amp;WIDTH=450&amp;STAR","T_MAXIMIZED=FALSE&amp;VAR:CALENDAR=FIVEDAY&amp;VAR:SYMBOL=456486&amp;VAR:INDEX=0"}</definedName>
    <definedName name="_1186__FDSAUDITLINK__" hidden="1">{"fdsup://directions/FAT Viewer?action=UPDATE&amp;creator=factset&amp;DYN_ARGS=TRUE&amp;DOC_NAME=FAT:FQL_AUDITING_CLIENT_TEMPLATE.FAT&amp;display_string=Audit&amp;VAR:KEY=BQPQLSDKNC&amp;VAR:QUERY=RkZfREVCVF9MVChTRU1JLDM5ODY0LDM5ODY0KQ==&amp;WINDOW=FIRST_POPUP&amp;HEIGHT=450&amp;WIDTH=450&amp;STAR","T_MAXIMIZED=FALSE&amp;VAR:CALENDAR=FIVEDAY&amp;VAR:SYMBOL=456486&amp;VAR:INDEX=0"}</definedName>
    <definedName name="_1187__FDSAUDITLINK__" hidden="1">{"fdsup://directions/FAT Viewer?action=UPDATE&amp;creator=factset&amp;DYN_ARGS=TRUE&amp;DOC_NAME=FAT:FQL_AUDITING_CLIENT_TEMPLATE.FAT&amp;display_string=Audit&amp;VAR:KEY=ZEPUDMNODA&amp;VAR:QUERY=RkZfREVCVF9MVChTRU1JLDM5ODU3LDM5ODU3KQ==&amp;WINDOW=FIRST_POPUP&amp;HEIGHT=450&amp;WIDTH=450&amp;STAR","T_MAXIMIZED=FALSE&amp;VAR:CALENDAR=FIVEDAY&amp;VAR:SYMBOL=456486&amp;VAR:INDEX=0"}</definedName>
    <definedName name="_1188__FDSAUDITLINK__" hidden="1">{"fdsup://directions/FAT Viewer?action=UPDATE&amp;creator=factset&amp;DYN_ARGS=TRUE&amp;DOC_NAME=FAT:FQL_AUDITING_CLIENT_TEMPLATE.FAT&amp;display_string=Audit&amp;VAR:KEY=HKVAFINOZA&amp;VAR:QUERY=RkZfREVCVF9MVChTRU1JLDM5ODUwLDM5ODUwKQ==&amp;WINDOW=FIRST_POPUP&amp;HEIGHT=450&amp;WIDTH=450&amp;STAR","T_MAXIMIZED=FALSE&amp;VAR:CALENDAR=FIVEDAY&amp;VAR:SYMBOL=456486&amp;VAR:INDEX=0"}</definedName>
    <definedName name="_1189__FDSAUDITLINK__" hidden="1">{"fdsup://directions/FAT Viewer?action=UPDATE&amp;creator=factset&amp;DYN_ARGS=TRUE&amp;DOC_NAME=FAT:FQL_AUDITING_CLIENT_TEMPLATE.FAT&amp;display_string=Audit&amp;VAR:KEY=FYNKHCPAJA&amp;VAR:QUERY=RkZfREVCVF9MVChTRU1JLDM5ODQzLDM5ODQzKQ==&amp;WINDOW=FIRST_POPUP&amp;HEIGHT=450&amp;WIDTH=450&amp;STAR","T_MAXIMIZED=FALSE&amp;VAR:CALENDAR=FIVEDAY&amp;VAR:SYMBOL=456486&amp;VAR:INDEX=0"}</definedName>
    <definedName name="_119__FDSAUDITLINK__" hidden="1">{"fdsup://IBCentral/FAT Viewer?action=UPDATE&amp;creator=factset&amp;DOC_NAME=fat:reuters_annual_source_window.fat&amp;display_string=Audit&amp;DYN_ARGS=TRUE&amp;VAR:ID1=12665010&amp;VAR:RCODE=FCDP&amp;VAR:SDATE=20041299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90__FDSAUDITLINK__" hidden="1">{"fdsup://directions/FAT Viewer?action=UPDATE&amp;creator=factset&amp;DYN_ARGS=TRUE&amp;DOC_NAME=FAT:FQL_AUDITING_CLIENT_TEMPLATE.FAT&amp;display_string=Audit&amp;VAR:KEY=FQNMXYTAHO&amp;VAR:QUERY=RkZfREVCVF9MVChTRU1JLDM5ODM2LDM5ODM2KQ==&amp;WINDOW=FIRST_POPUP&amp;HEIGHT=450&amp;WIDTH=450&amp;STAR","T_MAXIMIZED=FALSE&amp;VAR:CALENDAR=FIVEDAY&amp;VAR:SYMBOL=456486&amp;VAR:INDEX=0"}</definedName>
    <definedName name="_1191__FDSAUDITLINK__" hidden="1">{"fdsup://directions/FAT Viewer?action=UPDATE&amp;creator=factset&amp;DYN_ARGS=TRUE&amp;DOC_NAME=FAT:FQL_AUDITING_CLIENT_TEMPLATE.FAT&amp;display_string=Audit&amp;VAR:KEY=PSZGLARQLQ&amp;VAR:QUERY=RkZfREVCVF9MVChTRU1JLDM5ODI5LDM5ODI5KQ==&amp;WINDOW=FIRST_POPUP&amp;HEIGHT=450&amp;WIDTH=450&amp;STAR","T_MAXIMIZED=FALSE&amp;VAR:CALENDAR=FIVEDAY&amp;VAR:SYMBOL=456486&amp;VAR:INDEX=0"}</definedName>
    <definedName name="_1192__FDSAUDITLINK__" hidden="1">{"fdsup://directions/FAT Viewer?action=UPDATE&amp;creator=factset&amp;DYN_ARGS=TRUE&amp;DOC_NAME=FAT:FQL_AUDITING_CLIENT_TEMPLATE.FAT&amp;display_string=Audit&amp;VAR:KEY=LQLAVGRWNU&amp;VAR:QUERY=RkZfREVCVF9MVChTRU1JLDM5ODIyLDM5ODIyKQ==&amp;WINDOW=FIRST_POPUP&amp;HEIGHT=450&amp;WIDTH=450&amp;STAR","T_MAXIMIZED=FALSE&amp;VAR:CALENDAR=FIVEDAY&amp;VAR:SYMBOL=456486&amp;VAR:INDEX=0"}</definedName>
    <definedName name="_1193__FDSAUDITLINK__" hidden="1">{"fdsup://directions/FAT Viewer?action=UPDATE&amp;creator=factset&amp;DYN_ARGS=TRUE&amp;DOC_NAME=FAT:FQL_AUDITING_CLIENT_TEMPLATE.FAT&amp;display_string=Audit&amp;VAR:KEY=HYRINWBAVS&amp;VAR:QUERY=RkZfREVCVF9MVChTRU1JLDM5ODE1LDM5ODE1KQ==&amp;WINDOW=FIRST_POPUP&amp;HEIGHT=450&amp;WIDTH=450&amp;STAR","T_MAXIMIZED=FALSE&amp;VAR:CALENDAR=FIVEDAY&amp;VAR:SYMBOL=456486&amp;VAR:INDEX=0"}</definedName>
    <definedName name="_1194__FDSAUDITLINK__" hidden="1">{"fdsup://directions/FAT Viewer?action=UPDATE&amp;creator=factset&amp;DYN_ARGS=TRUE&amp;DOC_NAME=FAT:FQL_AUDITING_CLIENT_TEMPLATE.FAT&amp;display_string=Audit&amp;VAR:KEY=RMLKXYNYNM&amp;VAR:QUERY=RkZfREVCVF9MVChTRU1JLDM5ODA4LDM5ODA4KQ==&amp;WINDOW=FIRST_POPUP&amp;HEIGHT=450&amp;WIDTH=450&amp;STAR","T_MAXIMIZED=FALSE&amp;VAR:CALENDAR=FIVEDAY&amp;VAR:SYMBOL=456486&amp;VAR:INDEX=0"}</definedName>
    <definedName name="_1195__FDSAUDITLINK__" hidden="1">{"fdsup://directions/FAT Viewer?action=UPDATE&amp;creator=factset&amp;DYN_ARGS=TRUE&amp;DOC_NAME=FAT:FQL_AUDITING_CLIENT_TEMPLATE.FAT&amp;display_string=Audit&amp;VAR:KEY=JSRABQRYZI&amp;VAR:QUERY=RkZfREVCVF9MVChTRU1JLDM5ODAxLDM5ODAxKQ==&amp;WINDOW=FIRST_POPUP&amp;HEIGHT=450&amp;WIDTH=450&amp;STAR","T_MAXIMIZED=FALSE&amp;VAR:CALENDAR=FIVEDAY&amp;VAR:SYMBOL=456486&amp;VAR:INDEX=0"}</definedName>
    <definedName name="_1196__FDSAUDITLINK__" hidden="1">{"fdsup://directions/FAT Viewer?action=UPDATE&amp;creator=factset&amp;DYN_ARGS=TRUE&amp;DOC_NAME=FAT:FQL_AUDITING_CLIENT_TEMPLATE.FAT&amp;display_string=Audit&amp;VAR:KEY=HSDYBETOPS&amp;VAR:QUERY=RkZfREVCVF9MVChTRU1JLDM5Nzk0LDM5Nzk0KQ==&amp;WINDOW=FIRST_POPUP&amp;HEIGHT=450&amp;WIDTH=450&amp;STAR","T_MAXIMIZED=FALSE&amp;VAR:CALENDAR=FIVEDAY&amp;VAR:SYMBOL=456486&amp;VAR:INDEX=0"}</definedName>
    <definedName name="_1197__FDSAUDITLINK__" hidden="1">{"fdsup://directions/FAT Viewer?action=UPDATE&amp;creator=factset&amp;DYN_ARGS=TRUE&amp;DOC_NAME=FAT:FQL_AUDITING_CLIENT_TEMPLATE.FAT&amp;display_string=Audit&amp;VAR:KEY=PEVEZCHEBM&amp;VAR:QUERY=RkZfREVCVF9MVChTRU1JLDM5Nzg3LDM5Nzg3KQ==&amp;WINDOW=FIRST_POPUP&amp;HEIGHT=450&amp;WIDTH=450&amp;STAR","T_MAXIMIZED=FALSE&amp;VAR:CALENDAR=FIVEDAY&amp;VAR:SYMBOL=456486&amp;VAR:INDEX=0"}</definedName>
    <definedName name="_1198__FDSAUDITLINK__" hidden="1">{"fdsup://directions/FAT Viewer?action=UPDATE&amp;creator=factset&amp;DYN_ARGS=TRUE&amp;DOC_NAME=FAT:FQL_AUDITING_CLIENT_TEMPLATE.FAT&amp;display_string=Audit&amp;VAR:KEY=JOTATUTGBE&amp;VAR:QUERY=RkZfREVCVF9MVChTRU1JLDM5NzgwLDM5NzgwKQ==&amp;WINDOW=FIRST_POPUP&amp;HEIGHT=450&amp;WIDTH=450&amp;STAR","T_MAXIMIZED=FALSE&amp;VAR:CALENDAR=FIVEDAY&amp;VAR:SYMBOL=456486&amp;VAR:INDEX=0"}</definedName>
    <definedName name="_1199__FDSAUDITLINK__" hidden="1">{"fdsup://directions/FAT Viewer?action=UPDATE&amp;creator=factset&amp;DYN_ARGS=TRUE&amp;DOC_NAME=FAT:FQL_AUDITING_CLIENT_TEMPLATE.FAT&amp;display_string=Audit&amp;VAR:KEY=PAPALCNMNG&amp;VAR:QUERY=RkZfREVCVF9MVChTRU1JLDM5NzczLDM5NzczKQ==&amp;WINDOW=FIRST_POPUP&amp;HEIGHT=450&amp;WIDTH=450&amp;STAR","T_MAXIMIZED=FALSE&amp;VAR:CALENDAR=FIVEDAY&amp;VAR:SYMBOL=456486&amp;VAR:INDEX=0"}</definedName>
    <definedName name="_12__FDSAUDITLINK__" hidden="1">{"fdsup://IBCentral/FAT Viewer?action=UPDATE&amp;creator=factset&amp;DOC_NAME=fat:reuters_annual_source_window.fat&amp;display_string=Audit&amp;DYN_ARGS=TRUE&amp;VAR:ID1=03073E10&amp;VAR:RCODE=FCDP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annual_source_window.fat&amp;display_string=Audit&amp;DYN_ARGS=TRUE&amp;VAR:ID1=12665010&amp;VAR:RCODE=FCDP&amp;VAR:SDATE=20031299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00__FDSAUDITLINK__" hidden="1">{"fdsup://directions/FAT Viewer?action=UPDATE&amp;creator=factset&amp;DYN_ARGS=TRUE&amp;DOC_NAME=FAT:FQL_AUDITING_CLIENT_TEMPLATE.FAT&amp;display_string=Audit&amp;VAR:KEY=JSJWZONYRY&amp;VAR:QUERY=RkZfREVCVF9MVChTRU1JLDM5NzY2LDM5NzY2KQ==&amp;WINDOW=FIRST_POPUP&amp;HEIGHT=450&amp;WIDTH=450&amp;STAR","T_MAXIMIZED=FALSE&amp;VAR:CALENDAR=FIVEDAY&amp;VAR:SYMBOL=456486&amp;VAR:INDEX=0"}</definedName>
    <definedName name="_1201__FDSAUDITLINK__" hidden="1">{"fdsup://directions/FAT Viewer?action=UPDATE&amp;creator=factset&amp;DYN_ARGS=TRUE&amp;DOC_NAME=FAT:FQL_AUDITING_CLIENT_TEMPLATE.FAT&amp;display_string=Audit&amp;VAR:KEY=LGRULOPWXI&amp;VAR:QUERY=RkZfREVCVF9MVChTRU1JLDM5NzU5LDM5NzU5KQ==&amp;WINDOW=FIRST_POPUP&amp;HEIGHT=450&amp;WIDTH=450&amp;STAR","T_MAXIMIZED=FALSE&amp;VAR:CALENDAR=FIVEDAY&amp;VAR:SYMBOL=456486&amp;VAR:INDEX=0"}</definedName>
    <definedName name="_1202__FDSAUDITLINK__" hidden="1">{"fdsup://directions/FAT Viewer?action=UPDATE&amp;creator=factset&amp;DYN_ARGS=TRUE&amp;DOC_NAME=FAT:FQL_AUDITING_CLIENT_TEMPLATE.FAT&amp;display_string=Audit&amp;VAR:KEY=RCJAPUFWFS&amp;VAR:QUERY=RkZfREVCVF9MVChTRU1JLDM5NzUyLDM5NzUyKQ==&amp;WINDOW=FIRST_POPUP&amp;HEIGHT=450&amp;WIDTH=450&amp;STAR","T_MAXIMIZED=FALSE&amp;VAR:CALENDAR=FIVEDAY&amp;VAR:SYMBOL=456486&amp;VAR:INDEX=0"}</definedName>
    <definedName name="_1203__FDSAUDITLINK__" hidden="1">{"fdsup://directions/FAT Viewer?action=UPDATE&amp;creator=factset&amp;DYN_ARGS=TRUE&amp;DOC_NAME=FAT:FQL_AUDITING_CLIENT_TEMPLATE.FAT&amp;display_string=Audit&amp;VAR:KEY=TQJUVYXAXY&amp;VAR:QUERY=RkZfREVCVF9MVChTRU1JLDM5NzQ1LDM5NzQ1KQ==&amp;WINDOW=FIRST_POPUP&amp;HEIGHT=450&amp;WIDTH=450&amp;STAR","T_MAXIMIZED=FALSE&amp;VAR:CALENDAR=FIVEDAY&amp;VAR:SYMBOL=456486&amp;VAR:INDEX=0"}</definedName>
    <definedName name="_1204__FDSAUDITLINK__" hidden="1">{"fdsup://directions/FAT Viewer?action=UPDATE&amp;creator=factset&amp;DYN_ARGS=TRUE&amp;DOC_NAME=FAT:FQL_AUDITING_CLIENT_TEMPLATE.FAT&amp;display_string=Audit&amp;VAR:KEY=FENEBCPIFY&amp;VAR:QUERY=RkZfREVCVF9MVChTRU1JLDM5NzM4LDM5NzM4KQ==&amp;WINDOW=FIRST_POPUP&amp;HEIGHT=450&amp;WIDTH=450&amp;STAR","T_MAXIMIZED=FALSE&amp;VAR:CALENDAR=FIVEDAY&amp;VAR:SYMBOL=456486&amp;VAR:INDEX=0"}</definedName>
    <definedName name="_1205__FDSAUDITLINK__" hidden="1">{"fdsup://directions/FAT Viewer?action=UPDATE&amp;creator=factset&amp;DYN_ARGS=TRUE&amp;DOC_NAME=FAT:FQL_AUDITING_CLIENT_TEMPLATE.FAT&amp;display_string=Audit&amp;VAR:KEY=TWNSNGNAXQ&amp;VAR:QUERY=RkZfREVCVF9MVChTRU1JLDM5NzMxLDM5NzMxKQ==&amp;WINDOW=FIRST_POPUP&amp;HEIGHT=450&amp;WIDTH=450&amp;STAR","T_MAXIMIZED=FALSE&amp;VAR:CALENDAR=FIVEDAY&amp;VAR:SYMBOL=456486&amp;VAR:INDEX=0"}</definedName>
    <definedName name="_1206__FDSAUDITLINK__" hidden="1">{"fdsup://directions/FAT Viewer?action=UPDATE&amp;creator=factset&amp;DYN_ARGS=TRUE&amp;DOC_NAME=FAT:FQL_AUDITING_CLIENT_TEMPLATE.FAT&amp;display_string=Audit&amp;VAR:KEY=TKBKTSTIFK&amp;VAR:QUERY=RkZfREVCVF9MVChTRU1JLDM5NzI0LDM5NzI0KQ==&amp;WINDOW=FIRST_POPUP&amp;HEIGHT=450&amp;WIDTH=450&amp;STAR","T_MAXIMIZED=FALSE&amp;VAR:CALENDAR=FIVEDAY&amp;VAR:SYMBOL=456486&amp;VAR:INDEX=0"}</definedName>
    <definedName name="_1207__FDSAUDITLINK__" hidden="1">{"fdsup://directions/FAT Viewer?action=UPDATE&amp;creator=factset&amp;DYN_ARGS=TRUE&amp;DOC_NAME=FAT:FQL_AUDITING_CLIENT_TEMPLATE.FAT&amp;display_string=Audit&amp;VAR:KEY=TALQJGPUXO&amp;VAR:QUERY=RkZfREVCVF9MVChTRU1JLDM5NzE3LDM5NzE3KQ==&amp;WINDOW=FIRST_POPUP&amp;HEIGHT=450&amp;WIDTH=450&amp;STAR","T_MAXIMIZED=FALSE&amp;VAR:CALENDAR=FIVEDAY&amp;VAR:SYMBOL=456486&amp;VAR:INDEX=0"}</definedName>
    <definedName name="_120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0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1__FDSAUDITLINK__" hidden="1">{"fdsup://IBCentral/FAT Viewer?action=UPDATE&amp;creator=factset&amp;DOC_NAME=fat:reuters_annual_source_window.fat&amp;display_string=Audit&amp;DYN_ARGS=TRUE&amp;VAR:ID1=12665010&amp;VAR:RCODE=FCDP&amp;VAR:SDATE=20021299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10__FDSAUDITLINK__" hidden="1">{"fdsup://directions/FAT Viewer?action=UPDATE&amp;creator=factset&amp;DYN_ARGS=TRUE&amp;DOC_NAME=FAT:FQL_AUDITING_CLIENT_TEMPLATE.FAT&amp;display_string=Audit&amp;VAR:KEY=PUHYFKVOJU&amp;VAR:QUERY=RkZfREVCVF9MVChTRU1JLDM5NzEwLDM5NzEwKQ==&amp;WINDOW=FIRST_POPUP&amp;HEIGHT=450&amp;WIDTH=450&amp;STAR","T_MAXIMIZED=FALSE&amp;VAR:CALENDAR=FIVEDAY&amp;VAR:SYMBOL=456486&amp;VAR:INDEX=0"}</definedName>
    <definedName name="_121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1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13__FDSAUDITLINK__" hidden="1">{"fdsup://directions/FAT Viewer?action=UPDATE&amp;creator=factset&amp;DYN_ARGS=TRUE&amp;DOC_NAME=FAT:FQL_AUDITING_CLIENT_TEMPLATE.FAT&amp;display_string=Audit&amp;VAR:KEY=ZUZARSXSRW&amp;VAR:QUERY=RkZfREVCVF9MVChTRU1JLDM5NzAzLDM5NzAzKQ==&amp;WINDOW=FIRST_POPUP&amp;HEIGHT=450&amp;WIDTH=450&amp;STAR","T_MAXIMIZED=FALSE&amp;VAR:CALENDAR=FIVEDAY&amp;VAR:SYMBOL=456486&amp;VAR:INDEX=0"}</definedName>
    <definedName name="_121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1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16__FDSAUDITLINK__" hidden="1">{"fdsup://directions/FAT Viewer?action=UPDATE&amp;creator=factset&amp;DYN_ARGS=TRUE&amp;DOC_NAME=FAT:FQL_AUDITING_CLIENT_TEMPLATE.FAT&amp;display_string=Audit&amp;VAR:KEY=DYXYBERYLU&amp;VAR:QUERY=RkZfREVCVF9MVChTRU1JLDM5Njk2LDM5Njk2KQ==&amp;WINDOW=FIRST_POPUP&amp;HEIGHT=450&amp;WIDTH=450&amp;STAR","T_MAXIMIZED=FALSE&amp;VAR:CALENDAR=FIVEDAY&amp;VAR:SYMBOL=456486&amp;VAR:INDEX=0"}</definedName>
    <definedName name="_121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1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19__FDSAUDITLINK__" hidden="1">{"fdsup://directions/FAT Viewer?action=UPDATE&amp;creator=factset&amp;DYN_ARGS=TRUE&amp;DOC_NAME=FAT:FQL_AUDITING_CLIENT_TEMPLATE.FAT&amp;display_string=Audit&amp;VAR:KEY=PMBSNMFANE&amp;VAR:QUERY=RkZfREVCVF9MVChTRU1JLDM5Njg5LDM5Njg5KQ==&amp;WINDOW=FIRST_POPUP&amp;HEIGHT=450&amp;WIDTH=450&amp;STAR","T_MAXIMIZED=FALSE&amp;VAR:CALENDAR=FIVEDAY&amp;VAR:SYMBOL=456486&amp;VAR:INDEX=0"}</definedName>
    <definedName name="_122__FDSAUDITLINK__" hidden="1">{"fdsup://IBCentral/FAT Viewer?action=UPDATE&amp;creator=factset&amp;DOC_NAME=fat:reuters_annual_source_window.fat&amp;display_string=Audit&amp;DYN_ARGS=TRUE&amp;VAR:ID1=12665010&amp;VAR:RCODE=FCDP&amp;VAR:SDATE=20011299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2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2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22__FDSAUDITLINK__" hidden="1">{"fdsup://directions/FAT Viewer?action=UPDATE&amp;creator=factset&amp;DYN_ARGS=TRUE&amp;DOC_NAME=FAT:FQL_AUDITING_CLIENT_TEMPLATE.FAT&amp;display_string=Audit&amp;VAR:KEY=DGPIHURYZG&amp;VAR:QUERY=RkZfREVCVF9MVChTRU1JLDM5NjgyLDM5NjgyKQ==&amp;WINDOW=FIRST_POPUP&amp;HEIGHT=450&amp;WIDTH=450&amp;STAR","T_MAXIMIZED=FALSE&amp;VAR:CALENDAR=FIVEDAY&amp;VAR:SYMBOL=456486&amp;VAR:INDEX=0"}</definedName>
    <definedName name="_122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2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25__FDSAUDITLINK__" hidden="1">{"fdsup://directions/FAT Viewer?action=UPDATE&amp;creator=factset&amp;DYN_ARGS=TRUE&amp;DOC_NAME=FAT:FQL_AUDITING_CLIENT_TEMPLATE.FAT&amp;display_string=Audit&amp;VAR:KEY=NEPWJCHUHC&amp;VAR:QUERY=RkZfREVCVF9MVChTRU1JLDM5Njc1LDM5Njc1KQ==&amp;WINDOW=FIRST_POPUP&amp;HEIGHT=450&amp;WIDTH=450&amp;STAR","T_MAXIMIZED=FALSE&amp;VAR:CALENDAR=FIVEDAY&amp;VAR:SYMBOL=456486&amp;VAR:INDEX=0"}</definedName>
    <definedName name="_1226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27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28__FDSAUDITLINK__" hidden="1">{"fdsup://directions/FAT Viewer?action=UPDATE&amp;creator=factset&amp;DYN_ARGS=TRUE&amp;DOC_NAME=FAT:FQL_AUDITING_CLIENT_TEMPLATE.FAT&amp;display_string=Audit&amp;VAR:KEY=RQZYREJQFU&amp;VAR:QUERY=RkZfREVCVF9MVChTRU1JLDM5NjY4LDM5NjY4KQ==&amp;WINDOW=FIRST_POPUP&amp;HEIGHT=450&amp;WIDTH=450&amp;STAR","T_MAXIMIZED=FALSE&amp;VAR:CALENDAR=FIVEDAY&amp;VAR:SYMBOL=456486&amp;VAR:INDEX=0"}</definedName>
    <definedName name="_1229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3__FDSAUDITLINK__" hidden="1">{"fdsup://IBCentral/FAT Viewer?action=UPDATE&amp;creator=factset&amp;DOC_NAME=fat:reuters_annual_source_window.fat&amp;display_string=Audit&amp;DYN_ARGS=TRUE&amp;VAR:ID1=12665010&amp;VAR:RCODE=FCDP&amp;VAR:SDATE=20001299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30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31__FDSAUDITLINK__" hidden="1">{"fdsup://directions/FAT Viewer?action=UPDATE&amp;creator=factset&amp;DYN_ARGS=TRUE&amp;DOC_NAME=FAT:FQL_AUDITING_CLIENT_TEMPLATE.FAT&amp;display_string=Audit&amp;VAR:KEY=DCFETCVKXW&amp;VAR:QUERY=RkZfREVCVF9MVChTRU1JLDM5NjYxLDM5NjYxKQ==&amp;WINDOW=FIRST_POPUP&amp;HEIGHT=450&amp;WIDTH=450&amp;STAR","T_MAXIMIZED=FALSE&amp;VAR:CALENDAR=FIVEDAY&amp;VAR:SYMBOL=456486&amp;VAR:INDEX=0"}</definedName>
    <definedName name="_1232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33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34__FDSAUDITLINK__" hidden="1">{"fdsup://directions/FAT Viewer?action=UPDATE&amp;creator=factset&amp;DYN_ARGS=TRUE&amp;DOC_NAME=FAT:FQL_AUDITING_CLIENT_TEMPLATE.FAT&amp;display_string=Audit&amp;VAR:KEY=TYLORKTEHO&amp;VAR:QUERY=RkZfREVCVF9MVChTRU1JLDM5NjU0LDM5NjU0KQ==&amp;WINDOW=FIRST_POPUP&amp;HEIGHT=450&amp;WIDTH=450&amp;STAR","T_MAXIMIZED=FALSE&amp;VAR:CALENDAR=FIVEDAY&amp;VAR:SYMBOL=456486&amp;VAR:INDEX=0"}</definedName>
    <definedName name="_1235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36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37__FDSAUDITLINK__" hidden="1">{"fdsup://directions/FAT Viewer?action=UPDATE&amp;creator=factset&amp;DYN_ARGS=TRUE&amp;DOC_NAME=FAT:FQL_AUDITING_CLIENT_TEMPLATE.FAT&amp;display_string=Audit&amp;VAR:KEY=BKZWLEBUHM&amp;VAR:QUERY=RkZfREVCVF9MVChTRU1JLDM5NjQ3LDM5NjQ3KQ==&amp;WINDOW=FIRST_POPUP&amp;HEIGHT=450&amp;WIDTH=450&amp;STAR","T_MAXIMIZED=FALSE&amp;VAR:CALENDAR=FIVEDAY&amp;VAR:SYMBOL=456486&amp;VAR:INDEX=0"}</definedName>
    <definedName name="_123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3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4__FDSAUDITLINK__" hidden="1">{"fdsup://IBCentral/FAT Viewer?action=UPDATE&amp;creator=factset&amp;DOC_NAME=fat:reuters_annual_source_window.fat&amp;display_string=Audit&amp;DYN_ARGS=TRUE&amp;VAR:ID1=12665010&amp;VAR:RCODE=FCDP&amp;VAR:SDATE=19991299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40__FDSAUDITLINK__" hidden="1">{"fdsup://directions/FAT Viewer?action=UPDATE&amp;creator=factset&amp;DYN_ARGS=TRUE&amp;DOC_NAME=FAT:FQL_AUDITING_CLIENT_TEMPLATE.FAT&amp;display_string=Audit&amp;VAR:KEY=POBUZMBIDC&amp;VAR:QUERY=RkZfREVCVF9MVChTRU1JLDM5NjQwLDM5NjQwKQ==&amp;WINDOW=FIRST_POPUP&amp;HEIGHT=450&amp;WIDTH=450&amp;STAR","T_MAXIMIZED=FALSE&amp;VAR:CALENDAR=FIVEDAY&amp;VAR:SYMBOL=456486&amp;VAR:INDEX=0"}</definedName>
    <definedName name="_124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4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43__FDSAUDITLINK__" hidden="1">{"fdsup://directions/FAT Viewer?action=UPDATE&amp;creator=factset&amp;DYN_ARGS=TRUE&amp;DOC_NAME=FAT:FQL_AUDITING_CLIENT_TEMPLATE.FAT&amp;display_string=Audit&amp;VAR:KEY=HEZWPUNMLM&amp;VAR:QUERY=RkZfREVCVF9MVChTRU1JLDM5NjMzLDM5NjMzKQ==&amp;WINDOW=FIRST_POPUP&amp;HEIGHT=450&amp;WIDTH=450&amp;STAR","T_MAXIMIZED=FALSE&amp;VAR:CALENDAR=FIVEDAY&amp;VAR:SYMBOL=456486&amp;VAR:INDEX=0"}</definedName>
    <definedName name="_124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4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46__FDSAUDITLINK__" hidden="1">{"fdsup://directions/FAT Viewer?action=UPDATE&amp;creator=factset&amp;DYN_ARGS=TRUE&amp;DOC_NAME=FAT:FQL_AUDITING_CLIENT_TEMPLATE.FAT&amp;display_string=Audit&amp;VAR:KEY=XOHYNSDSNC&amp;VAR:QUERY=RkZfREVCVF9MVChTRU1JLDM5NjI2LDM5NjI2KQ==&amp;WINDOW=FIRST_POPUP&amp;HEIGHT=450&amp;WIDTH=450&amp;STAR","T_MAXIMIZED=FALSE&amp;VAR:CALENDAR=FIVEDAY&amp;VAR:SYMBOL=456486&amp;VAR:INDEX=0"}</definedName>
    <definedName name="_124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4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49__FDSAUDITLINK__" hidden="1">{"fdsup://directions/FAT Viewer?action=UPDATE&amp;creator=factset&amp;DYN_ARGS=TRUE&amp;DOC_NAME=FAT:FQL_AUDITING_CLIENT_TEMPLATE.FAT&amp;display_string=Audit&amp;VAR:KEY=JUBKNMBUZU&amp;VAR:QUERY=RkZfREVCVF9MVChTRU1JLDM5NjE5LDM5NjE5KQ==&amp;WINDOW=FIRST_POPUP&amp;HEIGHT=450&amp;WIDTH=450&amp;STAR","T_MAXIMIZED=FALSE&amp;VAR:CALENDAR=FIVEDAY&amp;VAR:SYMBOL=456486&amp;VAR:INDEX=0"}</definedName>
    <definedName name="_125__FDSAUDITLINK__" hidden="1">{"fdsup://IBCentral/FAT Viewer?action=UPDATE&amp;creator=factset&amp;DOC_NAME=fat:reuters_annual_shs_src_window.fat&amp;display_string=Audit&amp;DYN_ARGS=TRUE&amp;VAR:ID1=510518&amp;VAR:RCODE=FDSSHSOUTDEPS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5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5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52__FDSAUDITLINK__" hidden="1">{"fdsup://directions/FAT Viewer?action=UPDATE&amp;creator=factset&amp;DYN_ARGS=TRUE&amp;DOC_NAME=FAT:FQL_AUDITING_CLIENT_TEMPLATE.FAT&amp;display_string=Audit&amp;VAR:KEY=NYXITWFGLE&amp;VAR:QUERY=RkZfREVCVF9MVChTRU1JLDM5NjEyLDM5NjEyKQ==&amp;WINDOW=FIRST_POPUP&amp;HEIGHT=450&amp;WIDTH=450&amp;STAR","T_MAXIMIZED=FALSE&amp;VAR:CALENDAR=FIVEDAY&amp;VAR:SYMBOL=456486&amp;VAR:INDEX=0"}</definedName>
    <definedName name="_125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5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55__FDSAUDITLINK__" hidden="1">{"fdsup://directions/FAT Viewer?action=UPDATE&amp;creator=factset&amp;DYN_ARGS=TRUE&amp;DOC_NAME=FAT:FQL_AUDITING_CLIENT_TEMPLATE.FAT&amp;display_string=Audit&amp;VAR:KEY=ZQTGNEHOFG&amp;VAR:QUERY=RkZfREVCVF9MVChTRU1JLDM5NjA1LDM5NjA1KQ==&amp;WINDOW=FIRST_POPUP&amp;HEIGHT=450&amp;WIDTH=450&amp;STAR","T_MAXIMIZED=FALSE&amp;VAR:CALENDAR=FIVEDAY&amp;VAR:SYMBOL=456486&amp;VAR:INDEX=0"}</definedName>
    <definedName name="_1256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57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58__FDSAUDITLINK__" hidden="1">{"fdsup://directions/FAT Viewer?action=UPDATE&amp;creator=factset&amp;DYN_ARGS=TRUE&amp;DOC_NAME=FAT:FQL_AUDITING_CLIENT_TEMPLATE.FAT&amp;display_string=Audit&amp;VAR:KEY=JGFOLSZYLI&amp;VAR:QUERY=RkZfREVCVF9MVChTRU1JLDM5NTk4LDM5NTk4KQ==&amp;WINDOW=FIRST_POPUP&amp;HEIGHT=450&amp;WIDTH=450&amp;STAR","T_MAXIMIZED=FALSE&amp;VAR:CALENDAR=FIVEDAY&amp;VAR:SYMBOL=456486&amp;VAR:INDEX=0"}</definedName>
    <definedName name="_1259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6__FDSAUDITLINK__" hidden="1">{"fdsup://IBCentral/FAT Viewer?action=UPDATE&amp;creator=factset&amp;DOC_NAME=fat:reuters_annual_shs_src_window.fat&amp;display_string=Audit&amp;DYN_ARGS=TRUE&amp;VAR:ID1=510518&amp;VAR:RCODE=FDSSHSOUTDEPS&amp;VAR:SDATE=20071299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60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61__FDSAUDITLINK__" hidden="1">{"fdsup://directions/FAT Viewer?action=UPDATE&amp;creator=factset&amp;DYN_ARGS=TRUE&amp;DOC_NAME=FAT:FQL_AUDITING_CLIENT_TEMPLATE.FAT&amp;display_string=Audit&amp;VAR:KEY=FMRABQRAHG&amp;VAR:QUERY=RkZfREVCVF9MVChTRU1JLDM5NTkxLDM5NTkxKQ==&amp;WINDOW=FIRST_POPUP&amp;HEIGHT=450&amp;WIDTH=450&amp;STAR","T_MAXIMIZED=FALSE&amp;VAR:CALENDAR=FIVEDAY&amp;VAR:SYMBOL=456486&amp;VAR:INDEX=0"}</definedName>
    <definedName name="_1262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63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64__FDSAUDITLINK__" hidden="1">{"fdsup://directions/FAT Viewer?action=UPDATE&amp;creator=factset&amp;DYN_ARGS=TRUE&amp;DOC_NAME=FAT:FQL_AUDITING_CLIENT_TEMPLATE.FAT&amp;display_string=Audit&amp;VAR:KEY=HQFIDGHEVQ&amp;VAR:QUERY=RkZfREVCVF9MVChTRU1JLDM5NTg0LDM5NTg0KQ==&amp;WINDOW=FIRST_POPUP&amp;HEIGHT=450&amp;WIDTH=450&amp;STAR","T_MAXIMIZED=FALSE&amp;VAR:CALENDAR=FIVEDAY&amp;VAR:SYMBOL=456486&amp;VAR:INDEX=0"}</definedName>
    <definedName name="_1265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66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67__FDSAUDITLINK__" hidden="1">{"fdsup://directions/FAT Viewer?action=UPDATE&amp;creator=factset&amp;DYN_ARGS=TRUE&amp;DOC_NAME=FAT:FQL_AUDITING_CLIENT_TEMPLATE.FAT&amp;display_string=Audit&amp;VAR:KEY=RIFWBUPEZY&amp;VAR:QUERY=RkZfREVCVF9MVChTRU1JLDM5NTc3LDM5NTc3KQ==&amp;WINDOW=FIRST_POPUP&amp;HEIGHT=450&amp;WIDTH=450&amp;STAR","T_MAXIMIZED=FALSE&amp;VAR:CALENDAR=FIVEDAY&amp;VAR:SYMBOL=456486&amp;VAR:INDEX=0"}</definedName>
    <definedName name="_126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6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7__FDSAUDITLINK__" hidden="1">{"fdsup://IBCentral/FAT Viewer?action=UPDATE&amp;creator=factset&amp;DOC_NAME=fat:reuters_annual_shs_src_window.fat&amp;display_string=Audit&amp;DYN_ARGS=TRUE&amp;VAR:ID1=510518&amp;VAR:RCODE=FDSSHSOUTDEPS&amp;VAR:SDATE=20061299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70__FDSAUDITLINK__" hidden="1">{"fdsup://directions/FAT Viewer?action=UPDATE&amp;creator=factset&amp;DYN_ARGS=TRUE&amp;DOC_NAME=FAT:FQL_AUDITING_CLIENT_TEMPLATE.FAT&amp;display_string=Audit&amp;VAR:KEY=TCTEHUXEPO&amp;VAR:QUERY=RkZfREVCVF9MVChTRU1JLDM5NTcwLDM5NTcwKQ==&amp;WINDOW=FIRST_POPUP&amp;HEIGHT=450&amp;WIDTH=450&amp;STAR","T_MAXIMIZED=FALSE&amp;VAR:CALENDAR=FIVEDAY&amp;VAR:SYMBOL=456486&amp;VAR:INDEX=0"}</definedName>
    <definedName name="_127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7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73__FDSAUDITLINK__" hidden="1">{"fdsup://directions/FAT Viewer?action=UPDATE&amp;creator=factset&amp;DYN_ARGS=TRUE&amp;DOC_NAME=FAT:FQL_AUDITING_CLIENT_TEMPLATE.FAT&amp;display_string=Audit&amp;VAR:KEY=JSTWXOTGPY&amp;VAR:QUERY=RkZfREVCVF9MVChTRU1JLDM5NTYzLDM5NTYzKQ==&amp;WINDOW=FIRST_POPUP&amp;HEIGHT=450&amp;WIDTH=450&amp;STAR","T_MAXIMIZED=FALSE&amp;VAR:CALENDAR=FIVEDAY&amp;VAR:SYMBOL=456486&amp;VAR:INDEX=0"}</definedName>
    <definedName name="_127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7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76__FDSAUDITLINK__" hidden="1">{"fdsup://directions/FAT Viewer?action=UPDATE&amp;creator=factset&amp;DYN_ARGS=TRUE&amp;DOC_NAME=FAT:FQL_AUDITING_CLIENT_TEMPLATE.FAT&amp;display_string=Audit&amp;VAR:KEY=HULELQVUDY&amp;VAR:QUERY=RkZfREVCVF9MVChTRU1JLDM5NTU2LDM5NTU2KQ==&amp;WINDOW=FIRST_POPUP&amp;HEIGHT=450&amp;WIDTH=450&amp;STAR","T_MAXIMIZED=FALSE&amp;VAR:CALENDAR=FIVEDAY&amp;VAR:SYMBOL=456486&amp;VAR:INDEX=0"}</definedName>
    <definedName name="_127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7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79__FDSAUDITLINK__" hidden="1">{"fdsup://directions/FAT Viewer?action=UPDATE&amp;creator=factset&amp;DYN_ARGS=TRUE&amp;DOC_NAME=FAT:FQL_AUDITING_CLIENT_TEMPLATE.FAT&amp;display_string=Audit&amp;VAR:KEY=FWZYRCHOFW&amp;VAR:QUERY=RkZfREVCVF9MVChTRU1JLDM5NTQ5LDM5NTQ5KQ==&amp;WINDOW=FIRST_POPUP&amp;HEIGHT=450&amp;WIDTH=450&amp;STAR","T_MAXIMIZED=FALSE&amp;VAR:CALENDAR=FIVEDAY&amp;VAR:SYMBOL=456486&amp;VAR:INDEX=0"}</definedName>
    <definedName name="_128__FDSAUDITLINK__" hidden="1">{"fdsup://IBCentral/FAT Viewer?action=UPDATE&amp;creator=factset&amp;DOC_NAME=fat:reuters_annual_shs_src_window.fat&amp;display_string=Audit&amp;DYN_ARGS=TRUE&amp;VAR:ID1=510518&amp;VAR:RCODE=FDSSHSOUTDEPS&amp;VAR:SDATE=20051299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8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8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82__FDSAUDITLINK__" hidden="1">{"fdsup://directions/FAT Viewer?action=UPDATE&amp;creator=factset&amp;DYN_ARGS=TRUE&amp;DOC_NAME=FAT:FQL_AUDITING_CLIENT_TEMPLATE.FAT&amp;display_string=Audit&amp;VAR:KEY=TKRSNUBGPM&amp;VAR:QUERY=RkZfREVCVF9MVChTRU1JLDM5NTQyLDM5NTQyKQ==&amp;WINDOW=FIRST_POPUP&amp;HEIGHT=450&amp;WIDTH=450&amp;STAR","T_MAXIMIZED=FALSE&amp;VAR:CALENDAR=FIVEDAY&amp;VAR:SYMBOL=456486&amp;VAR:INDEX=0"}</definedName>
    <definedName name="_128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8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85__FDSAUDITLINK__" hidden="1">{"fdsup://directions/FAT Viewer?action=UPDATE&amp;creator=factset&amp;DYN_ARGS=TRUE&amp;DOC_NAME=FAT:FQL_AUDITING_CLIENT_TEMPLATE.FAT&amp;display_string=Audit&amp;VAR:KEY=BKZOXMHGLW&amp;VAR:QUERY=RkZfREVCVF9MVChTRU1JLDM5NTM1LDM5NTM1KQ==&amp;WINDOW=FIRST_POPUP&amp;HEIGHT=450&amp;WIDTH=450&amp;STAR","T_MAXIMIZED=FALSE&amp;VAR:CALENDAR=FIVEDAY&amp;VAR:SYMBOL=456486&amp;VAR:INDEX=0"}</definedName>
    <definedName name="_1286__FDSAUDITLINK__" hidden="1">{"fdsup://directions/FAT Viewer?action=UPDATE&amp;creator=factset&amp;DYN_ARGS=TRUE&amp;DOC_NAME=FAT:FQL_AUDITING_CLIENT_TEMPLATE.FAT&amp;display_string=Audit&amp;VAR:KEY=LMBKDEVWPK&amp;VAR:QUERY=RkZfREVCVF9MVChTRU1JLDM5NTI4LDM5NTI4KQ==&amp;WINDOW=FIRST_POPUP&amp;HEIGHT=450&amp;WIDTH=450&amp;STAR","T_MAXIMIZED=FALSE&amp;VAR:CALENDAR=FIVEDAY&amp;VAR:SYMBOL=456486&amp;VAR:INDEX=0"}</definedName>
    <definedName name="_1287__FDSAUDITLINK__" hidden="1">{"fdsup://directions/FAT Viewer?action=UPDATE&amp;creator=factset&amp;DYN_ARGS=TRUE&amp;DOC_NAME=FAT:FQL_AUDITING_CLIENT_TEMPLATE.FAT&amp;display_string=Audit&amp;VAR:KEY=FMLQHQHWFO&amp;VAR:QUERY=RkZfREVCVF9MVChTRU1JLDM5NTIxLDM5NTIxKQ==&amp;WINDOW=FIRST_POPUP&amp;HEIGHT=450&amp;WIDTH=450&amp;STAR","T_MAXIMIZED=FALSE&amp;VAR:CALENDAR=FIVEDAY&amp;VAR:SYMBOL=456486&amp;VAR:INDEX=0"}</definedName>
    <definedName name="_1288__FDSAUDITLINK__" hidden="1">{"fdsup://directions/FAT Viewer?action=UPDATE&amp;creator=factset&amp;DYN_ARGS=TRUE&amp;DOC_NAME=FAT:FQL_AUDITING_CLIENT_TEMPLATE.FAT&amp;display_string=Audit&amp;VAR:KEY=POXQPYZSHC&amp;VAR:QUERY=RkZfREVCVF9MVChTRU1JLDM5NTE0LDM5NTE0KQ==&amp;WINDOW=FIRST_POPUP&amp;HEIGHT=450&amp;WIDTH=450&amp;STAR","T_MAXIMIZED=FALSE&amp;VAR:CALENDAR=FIVEDAY&amp;VAR:SYMBOL=456486&amp;VAR:INDEX=0"}</definedName>
    <definedName name="_1289__FDSAUDITLINK__" hidden="1">{"fdsup://directions/FAT Viewer?action=UPDATE&amp;creator=factset&amp;DYN_ARGS=TRUE&amp;DOC_NAME=FAT:FQL_AUDITING_CLIENT_TEMPLATE.FAT&amp;display_string=Audit&amp;VAR:KEY=NMFEBUXCDG&amp;VAR:QUERY=RkZfREVCVF9MVChTRU1JLDM5NTA3LDM5NTA3KQ==&amp;WINDOW=FIRST_POPUP&amp;HEIGHT=450&amp;WIDTH=450&amp;STAR","T_MAXIMIZED=FALSE&amp;VAR:CALENDAR=FIVEDAY&amp;VAR:SYMBOL=456486&amp;VAR:INDEX=0"}</definedName>
    <definedName name="_129__FDSAUDITLINK__" hidden="1">{"fdsup://IBCentral/FAT Viewer?action=UPDATE&amp;creator=factset&amp;DOC_NAME=fat:reuters_annual_shs_src_window.fat&amp;display_string=Audit&amp;DYN_ARGS=TRUE&amp;VAR:ID1=510518&amp;VAR:RCODE=FDSSHSOUTDEPS&amp;VAR:SDATE=20041299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90__FDSAUDITLINK__" hidden="1">{"fdsup://directions/FAT Viewer?action=UPDATE&amp;creator=factset&amp;DYN_ARGS=TRUE&amp;DOC_NAME=FAT:FQL_AUDITING_CLIENT_TEMPLATE.FAT&amp;display_string=Audit&amp;VAR:KEY=NOXIDMLGFO&amp;VAR:QUERY=RkZfREVCVF9MVChTRU1JLDM5NTAwLDM5NTAwKQ==&amp;WINDOW=FIRST_POPUP&amp;HEIGHT=450&amp;WIDTH=450&amp;STAR","T_MAXIMIZED=FALSE&amp;VAR:CALENDAR=FIVEDAY&amp;VAR:SYMBOL=456486&amp;VAR:INDEX=0"}</definedName>
    <definedName name="_1291__FDSAUDITLINK__" hidden="1">{"fdsup://directions/FAT Viewer?action=UPDATE&amp;creator=factset&amp;DYN_ARGS=TRUE&amp;DOC_NAME=FAT:FQL_AUDITING_CLIENT_TEMPLATE.FAT&amp;display_string=Audit&amp;VAR:KEY=NUPMBUXOLA&amp;VAR:QUERY=RkZfREVCVF9MVChTRU1JLDM5NDkzLDM5NDkzKQ==&amp;WINDOW=FIRST_POPUP&amp;HEIGHT=450&amp;WIDTH=450&amp;STAR","T_MAXIMIZED=FALSE&amp;VAR:CALENDAR=FIVEDAY&amp;VAR:SYMBOL=456486&amp;VAR:INDEX=0"}</definedName>
    <definedName name="_1292__FDSAUDITLINK__" hidden="1">{"fdsup://directions/FAT Viewer?action=UPDATE&amp;creator=factset&amp;DYN_ARGS=TRUE&amp;DOC_NAME=FAT:FQL_AUDITING_CLIENT_TEMPLATE.FAT&amp;display_string=Audit&amp;VAR:KEY=VSVOPKDGPC&amp;VAR:QUERY=RkZfREVCVF9MVChTRU1JLDM5NDg2LDM5NDg2KQ==&amp;WINDOW=FIRST_POPUP&amp;HEIGHT=450&amp;WIDTH=450&amp;STAR","T_MAXIMIZED=FALSE&amp;VAR:CALENDAR=FIVEDAY&amp;VAR:SYMBOL=456486&amp;VAR:INDEX=0"}</definedName>
    <definedName name="_1293__FDSAUDITLINK__" hidden="1">{"fdsup://directions/FAT Viewer?action=UPDATE&amp;creator=factset&amp;DYN_ARGS=TRUE&amp;DOC_NAME=FAT:FQL_AUDITING_CLIENT_TEMPLATE.FAT&amp;display_string=Audit&amp;VAR:KEY=JAXKZWRCBU&amp;VAR:QUERY=RkZfREVCVF9MVChTRU1JLDM5NDc5LDM5NDc5KQ==&amp;WINDOW=FIRST_POPUP&amp;HEIGHT=450&amp;WIDTH=450&amp;STAR","T_MAXIMIZED=FALSE&amp;VAR:CALENDAR=FIVEDAY&amp;VAR:SYMBOL=456486&amp;VAR:INDEX=0"}</definedName>
    <definedName name="_1294__FDSAUDITLINK__" hidden="1">{"fdsup://directions/FAT Viewer?action=UPDATE&amp;creator=factset&amp;DYN_ARGS=TRUE&amp;DOC_NAME=FAT:FQL_AUDITING_CLIENT_TEMPLATE.FAT&amp;display_string=Audit&amp;VAR:KEY=ZKZWPSPKXA&amp;VAR:QUERY=RkZfREVCVF9MVChTRU1JLDM5NDcyLDM5NDcyKQ==&amp;WINDOW=FIRST_POPUP&amp;HEIGHT=450&amp;WIDTH=450&amp;STAR","T_MAXIMIZED=FALSE&amp;VAR:CALENDAR=FIVEDAY&amp;VAR:SYMBOL=456486&amp;VAR:INDEX=0"}</definedName>
    <definedName name="_1295__FDSAUDITLINK__" hidden="1">{"fdsup://directions/FAT Viewer?action=UPDATE&amp;creator=factset&amp;DYN_ARGS=TRUE&amp;DOC_NAME=FAT:FQL_AUDITING_CLIENT_TEMPLATE.FAT&amp;display_string=Audit&amp;VAR:KEY=LODGPQVGPW&amp;VAR:QUERY=RkZfREVCVF9MVChTRU1JLDM5NDY1LDM5NDY1KQ==&amp;WINDOW=FIRST_POPUP&amp;HEIGHT=450&amp;WIDTH=450&amp;STAR","T_MAXIMIZED=FALSE&amp;VAR:CALENDAR=FIVEDAY&amp;VAR:SYMBOL=456486&amp;VAR:INDEX=0"}</definedName>
    <definedName name="_1296__FDSAUDITLINK__" hidden="1">{"fdsup://directions/FAT Viewer?action=UPDATE&amp;creator=factset&amp;DYN_ARGS=TRUE&amp;DOC_NAME=FAT:FQL_AUDITING_CLIENT_TEMPLATE.FAT&amp;display_string=Audit&amp;VAR:KEY=NEXGZSXQLS&amp;VAR:QUERY=RkZfREVCVF9MVChTRU1JLDM5NDU4LDM5NDU4KQ==&amp;WINDOW=FIRST_POPUP&amp;HEIGHT=450&amp;WIDTH=450&amp;STAR","T_MAXIMIZED=FALSE&amp;VAR:CALENDAR=FIVEDAY&amp;VAR:SYMBOL=456486&amp;VAR:INDEX=0"}</definedName>
    <definedName name="_1297__FDSAUDITLINK__" hidden="1">{"fdsup://directions/FAT Viewer?action=UPDATE&amp;creator=factset&amp;DYN_ARGS=TRUE&amp;DOC_NAME=FAT:FQL_AUDITING_CLIENT_TEMPLATE.FAT&amp;display_string=Audit&amp;VAR:KEY=HCXSBQBYDA&amp;VAR:QUERY=RkZfREVCVF9MVChTRU1JLDM5NDUxLDM5NDUxKQ==&amp;WINDOW=FIRST_POPUP&amp;HEIGHT=450&amp;WIDTH=450&amp;STAR","T_MAXIMIZED=FALSE&amp;VAR:CALENDAR=FIVEDAY&amp;VAR:SYMBOL=456486&amp;VAR:INDEX=0"}</definedName>
    <definedName name="_1298__FDSAUDITLINK__" hidden="1">{"fdsup://directions/FAT Viewer?action=UPDATE&amp;creator=factset&amp;DYN_ARGS=TRUE&amp;DOC_NAME=FAT:FQL_AUDITING_CLIENT_TEMPLATE.FAT&amp;display_string=Audit&amp;VAR:KEY=ZGTCRYBAJU&amp;VAR:QUERY=RkZfREVCVF9MVChTRU1JLDM5NDQ0LDM5NDQ0KQ==&amp;WINDOW=FIRST_POPUP&amp;HEIGHT=450&amp;WIDTH=450&amp;STAR","T_MAXIMIZED=FALSE&amp;VAR:CALENDAR=FIVEDAY&amp;VAR:SYMBOL=456486&amp;VAR:INDEX=0"}</definedName>
    <definedName name="_1299__FDSAUDITLINK__" hidden="1">{"fdsup://directions/FAT Viewer?action=UPDATE&amp;creator=factset&amp;DYN_ARGS=TRUE&amp;DOC_NAME=FAT:FQL_AUDITING_CLIENT_TEMPLATE.FAT&amp;display_string=Audit&amp;VAR:KEY=VUBIPCJSTE&amp;VAR:QUERY=RkZfREVCVF9MVChTRU1JLDM5NDM3LDM5NDM3KQ==&amp;WINDOW=FIRST_POPUP&amp;HEIGHT=450&amp;WIDTH=450&amp;STAR","T_MAXIMIZED=FALSE&amp;VAR:CALENDAR=FIVEDAY&amp;VAR:SYMBOL=456486&amp;VAR:INDEX=0"}</definedName>
    <definedName name="_13__FDSAUDITLINK__" hidden="1">{"fdsup://directions/FAT Viewer?action=UPDATE&amp;creator=factset&amp;DYN_ARGS=TRUE&amp;DOC_NAME=FAT:FQL_AUDITING_CLIENT_TEMPLATE.FAT&amp;display_string=Audit&amp;VAR:KEY=QDAFWDMPSJ&amp;VAR:QUERY=RkZfRVBTX0RJTChBTk4sMjAxMSk=&amp;WINDOW=FIRST_POPUP&amp;HEIGHT=450&amp;WIDTH=450&amp;START_MAXIMIZED=","FALSE&amp;VAR:CALENDAR=FIVEDAY&amp;VAR:SYMBOL=645495&amp;VAR:INDEX=0"}</definedName>
    <definedName name="_130__FDSAUDITLINK__" hidden="1">{"fdsup://IBCentral/FAT Viewer?action=UPDATE&amp;creator=factset&amp;DOC_NAME=fat:reuters_annual_shs_src_window.fat&amp;display_string=Audit&amp;DYN_ARGS=TRUE&amp;VAR:ID1=510518&amp;VAR:RCODE=FDSSHSOUTDEPS&amp;VAR:SDATE=20031299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300__FDSAUDITLINK__" hidden="1">{"fdsup://directions/FAT Viewer?action=UPDATE&amp;creator=factset&amp;DYN_ARGS=TRUE&amp;DOC_NAME=FAT:FQL_AUDITING_CLIENT_TEMPLATE.FAT&amp;display_string=Audit&amp;VAR:KEY=BOBSXKTCPO&amp;VAR:QUERY=RkZfREVCVF9MVChTRU1JLDM5NDMwLDM5NDMwKQ==&amp;WINDOW=FIRST_POPUP&amp;HEIGHT=450&amp;WIDTH=450&amp;STAR","T_MAXIMIZED=FALSE&amp;VAR:CALENDAR=FIVEDAY&amp;VAR:SYMBOL=456486&amp;VAR:INDEX=0"}</definedName>
    <definedName name="_1301__FDSAUDITLINK__" hidden="1">{"fdsup://directions/FAT Viewer?action=UPDATE&amp;creator=factset&amp;DYN_ARGS=TRUE&amp;DOC_NAME=FAT:FQL_AUDITING_CLIENT_TEMPLATE.FAT&amp;display_string=Audit&amp;VAR:KEY=JCBKHKNOZW&amp;VAR:QUERY=RkZfREVCVF9MVChTRU1JLDM5NDIzLDM5NDIzKQ==&amp;WINDOW=FIRST_POPUP&amp;HEIGHT=450&amp;WIDTH=450&amp;STAR","T_MAXIMIZED=FALSE&amp;VAR:CALENDAR=FIVEDAY&amp;VAR:SYMBOL=456486&amp;VAR:INDEX=0"}</definedName>
    <definedName name="_1302__FDSAUDITLINK__" hidden="1">{"fdsup://directions/FAT Viewer?action=UPDATE&amp;creator=factset&amp;DYN_ARGS=TRUE&amp;DOC_NAME=FAT:FQL_AUDITING_CLIENT_TEMPLATE.FAT&amp;display_string=Audit&amp;VAR:KEY=NAVCRKROLO&amp;VAR:QUERY=RkZfREVCVF9MVChTRU1JLDM5NDE2LDM5NDE2KQ==&amp;WINDOW=FIRST_POPUP&amp;HEIGHT=450&amp;WIDTH=450&amp;STAR","T_MAXIMIZED=FALSE&amp;VAR:CALENDAR=FIVEDAY&amp;VAR:SYMBOL=456486&amp;VAR:INDEX=0"}</definedName>
    <definedName name="_1303__FDSAUDITLINK__" hidden="1">{"fdsup://directions/FAT Viewer?action=UPDATE&amp;creator=factset&amp;DYN_ARGS=TRUE&amp;DOC_NAME=FAT:FQL_AUDITING_CLIENT_TEMPLATE.FAT&amp;display_string=Audit&amp;VAR:KEY=HOXARAFUDU&amp;VAR:QUERY=RkZfREVCVF9MVChTRU1JLDM5NDA5LDM5NDA5KQ==&amp;WINDOW=FIRST_POPUP&amp;HEIGHT=450&amp;WIDTH=450&amp;STAR","T_MAXIMIZED=FALSE&amp;VAR:CALENDAR=FIVEDAY&amp;VAR:SYMBOL=456486&amp;VAR:INDEX=0"}</definedName>
    <definedName name="_1304__FDSAUDITLINK__" hidden="1">{"fdsup://directions/FAT Viewer?action=UPDATE&amp;creator=factset&amp;DYN_ARGS=TRUE&amp;DOC_NAME=FAT:FQL_AUDITING_CLIENT_TEMPLATE.FAT&amp;display_string=Audit&amp;VAR:KEY=XKPGZGBWBQ&amp;VAR:QUERY=RkZfREVCVF9MVChTRU1JLDM5NDAyLDM5NDAyKQ==&amp;WINDOW=FIRST_POPUP&amp;HEIGHT=450&amp;WIDTH=450&amp;STAR","T_MAXIMIZED=FALSE&amp;VAR:CALENDAR=FIVEDAY&amp;VAR:SYMBOL=456486&amp;VAR:INDEX=0"}</definedName>
    <definedName name="_1305__FDSAUDITLINK__" hidden="1">{"fdsup://directions/FAT Viewer?action=UPDATE&amp;creator=factset&amp;DYN_ARGS=TRUE&amp;DOC_NAME=FAT:FQL_AUDITING_CLIENT_TEMPLATE.FAT&amp;display_string=Audit&amp;VAR:KEY=BKNEJSDWBY&amp;VAR:QUERY=RkZfREVCVF9MVChTRU1JLDM5Mzk1LDM5Mzk1KQ==&amp;WINDOW=FIRST_POPUP&amp;HEIGHT=450&amp;WIDTH=450&amp;STAR","T_MAXIMIZED=FALSE&amp;VAR:CALENDAR=FIVEDAY&amp;VAR:SYMBOL=456486&amp;VAR:INDEX=0"}</definedName>
    <definedName name="_1306__FDSAUDITLINK__" hidden="1">{"fdsup://directions/FAT Viewer?action=UPDATE&amp;creator=factset&amp;DYN_ARGS=TRUE&amp;DOC_NAME=FAT:FQL_AUDITING_CLIENT_TEMPLATE.FAT&amp;display_string=Audit&amp;VAR:KEY=BIPAJSTQNA&amp;VAR:QUERY=RkZfREVCVF9MVChTRU1JLDM5Mzg4LDM5Mzg4KQ==&amp;WINDOW=FIRST_POPUP&amp;HEIGHT=450&amp;WIDTH=450&amp;STAR","T_MAXIMIZED=FALSE&amp;VAR:CALENDAR=FIVEDAY&amp;VAR:SYMBOL=456486&amp;VAR:INDEX=0"}</definedName>
    <definedName name="_1307__FDSAUDITLINK__" hidden="1">{"fdsup://directions/FAT Viewer?action=UPDATE&amp;creator=factset&amp;DYN_ARGS=TRUE&amp;DOC_NAME=FAT:FQL_AUDITING_CLIENT_TEMPLATE.FAT&amp;display_string=Audit&amp;VAR:KEY=VARUTAFYZO&amp;VAR:QUERY=RkZfREVCVF9MVChTRU1JLDM5MzgxLDM5MzgxKQ==&amp;WINDOW=FIRST_POPUP&amp;HEIGHT=450&amp;WIDTH=450&amp;STAR","T_MAXIMIZED=FALSE&amp;VAR:CALENDAR=FIVEDAY&amp;VAR:SYMBOL=456486&amp;VAR:INDEX=0"}</definedName>
    <definedName name="_1308__FDSAUDITLINK__" hidden="1">{"fdsup://directions/FAT Viewer?action=UPDATE&amp;creator=factset&amp;DYN_ARGS=TRUE&amp;DOC_NAME=FAT:FQL_AUDITING_CLIENT_TEMPLATE.FAT&amp;display_string=Audit&amp;VAR:KEY=DWPIHOVGTK&amp;VAR:QUERY=RkZfREVCVF9MVChTRU1JLDM5Mzc0LDM5Mzc0KQ==&amp;WINDOW=FIRST_POPUP&amp;HEIGHT=450&amp;WIDTH=450&amp;STAR","T_MAXIMIZED=FALSE&amp;VAR:CALENDAR=FIVEDAY&amp;VAR:SYMBOL=456486&amp;VAR:INDEX=0"}</definedName>
    <definedName name="_1309__FDSAUDITLINK__" hidden="1">{"fdsup://directions/FAT Viewer?action=UPDATE&amp;creator=factset&amp;DYN_ARGS=TRUE&amp;DOC_NAME=FAT:FQL_AUDITING_CLIENT_TEMPLATE.FAT&amp;display_string=Audit&amp;VAR:KEY=NMDYDEHGLO&amp;VAR:QUERY=RkZfREVCVF9MVChTRU1JLDM5MzY3LDM5MzY3KQ==&amp;WINDOW=FIRST_POPUP&amp;HEIGHT=450&amp;WIDTH=450&amp;STAR","T_MAXIMIZED=FALSE&amp;VAR:CALENDAR=FIVEDAY&amp;VAR:SYMBOL=456486&amp;VAR:INDEX=0"}</definedName>
    <definedName name="_131__FDSAUDITLINK__" hidden="1">{"fdsup://IBCentral/FAT Viewer?action=UPDATE&amp;creator=factset&amp;DOC_NAME=fat:reuters_annual_shs_src_window.fat&amp;display_string=Audit&amp;DYN_ARGS=TRUE&amp;VAR:ID1=510518&amp;VAR:RCODE=FDSSHSOUTDEPS&amp;VAR:SDATE=20021299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310__FDSAUDITLINK__" hidden="1">{"fdsup://directions/FAT Viewer?action=UPDATE&amp;creator=factset&amp;DYN_ARGS=TRUE&amp;DOC_NAME=FAT:FQL_AUDITING_CLIENT_TEMPLATE.FAT&amp;display_string=Audit&amp;VAR:KEY=XUZKFGPYFS&amp;VAR:QUERY=RkZfREVCVF9MVChTRU1JLDM5MzYwLDM5MzYwKQ==&amp;WINDOW=FIRST_POPUP&amp;HEIGHT=450&amp;WIDTH=450&amp;STAR","T_MAXIMIZED=FALSE&amp;VAR:CALENDAR=FIVEDAY&amp;VAR:SYMBOL=456486&amp;VAR:INDEX=0"}</definedName>
    <definedName name="_1311__FDSAUDITLINK__" hidden="1">{"fdsup://directions/FAT Viewer?action=UPDATE&amp;creator=factset&amp;DYN_ARGS=TRUE&amp;DOC_NAME=FAT:FQL_AUDITING_CLIENT_TEMPLATE.FAT&amp;display_string=Audit&amp;VAR:KEY=TGZWVANSXQ&amp;VAR:QUERY=RkZfREVCVF9MVChTRU1JLDM5MzUzLDM5MzUzKQ==&amp;WINDOW=FIRST_POPUP&amp;HEIGHT=450&amp;WIDTH=450&amp;STAR","T_MAXIMIZED=FALSE&amp;VAR:CALENDAR=FIVEDAY&amp;VAR:SYMBOL=456486&amp;VAR:INDEX=0"}</definedName>
    <definedName name="_1312__FDSAUDITLINK__" hidden="1">{"fdsup://directions/FAT Viewer?action=UPDATE&amp;creator=factset&amp;DYN_ARGS=TRUE&amp;DOC_NAME=FAT:FQL_AUDITING_CLIENT_TEMPLATE.FAT&amp;display_string=Audit&amp;VAR:KEY=ZWPCTYHAPA&amp;VAR:QUERY=RkZfREVCVF9MVChTRU1JLDM5MzQ2LDM5MzQ2KQ==&amp;WINDOW=FIRST_POPUP&amp;HEIGHT=450&amp;WIDTH=450&amp;STAR","T_MAXIMIZED=FALSE&amp;VAR:CALENDAR=FIVEDAY&amp;VAR:SYMBOL=456486&amp;VAR:INDEX=0"}</definedName>
    <definedName name="_131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1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15__FDSAUDITLINK__" hidden="1">{"fdsup://directions/FAT Viewer?action=UPDATE&amp;creator=factset&amp;DYN_ARGS=TRUE&amp;DOC_NAME=FAT:FQL_AUDITING_CLIENT_TEMPLATE.FAT&amp;display_string=Audit&amp;VAR:KEY=HINKTGRKVE&amp;VAR:QUERY=RkZfREVCVF9MVChTRU1JLDM5MzM5LDM5MzM5KQ==&amp;WINDOW=FIRST_POPUP&amp;HEIGHT=450&amp;WIDTH=450&amp;STAR","T_MAXIMIZED=FALSE&amp;VAR:CALENDAR=FIVEDAY&amp;VAR:SYMBOL=456486&amp;VAR:INDEX=0"}</definedName>
    <definedName name="_131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1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18__FDSAUDITLINK__" hidden="1">{"fdsup://directions/FAT Viewer?action=UPDATE&amp;creator=factset&amp;DYN_ARGS=TRUE&amp;DOC_NAME=FAT:FQL_AUDITING_CLIENT_TEMPLATE.FAT&amp;display_string=Audit&amp;VAR:KEY=ZWZOLYNSDA&amp;VAR:QUERY=RkZfREVCVF9MVChTRU1JLDM5MzMyLDM5MzMyKQ==&amp;WINDOW=FIRST_POPUP&amp;HEIGHT=450&amp;WIDTH=450&amp;STAR","T_MAXIMIZED=FALSE&amp;VAR:CALENDAR=FIVEDAY&amp;VAR:SYMBOL=456486&amp;VAR:INDEX=0"}</definedName>
    <definedName name="_131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2__FDSAUDITLINK__" hidden="1">{"fdsup://IBCentral/FAT Viewer?action=UPDATE&amp;creator=factset&amp;DOC_NAME=fat:reuters_annual_shs_src_window.fat&amp;display_string=Audit&amp;DYN_ARGS=TRUE&amp;VAR:ID1=510518&amp;VAR:RCODE=FDSSHSOUTDEPS&amp;VAR:SDATE=20011299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32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21__FDSAUDITLINK__" hidden="1">{"fdsup://directions/FAT Viewer?action=UPDATE&amp;creator=factset&amp;DYN_ARGS=TRUE&amp;DOC_NAME=FAT:FQL_AUDITING_CLIENT_TEMPLATE.FAT&amp;display_string=Audit&amp;VAR:KEY=DSVKVCDOZI&amp;VAR:QUERY=RkZfREVCVF9MVChTRU1JLDM5MzI1LDM5MzI1KQ==&amp;WINDOW=FIRST_POPUP&amp;HEIGHT=450&amp;WIDTH=450&amp;STAR","T_MAXIMIZED=FALSE&amp;VAR:CALENDAR=FIVEDAY&amp;VAR:SYMBOL=456486&amp;VAR:INDEX=0"}</definedName>
    <definedName name="_132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2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24__FDSAUDITLINK__" hidden="1">{"fdsup://directions/FAT Viewer?action=UPDATE&amp;creator=factset&amp;DYN_ARGS=TRUE&amp;DOC_NAME=FAT:FQL_AUDITING_CLIENT_TEMPLATE.FAT&amp;display_string=Audit&amp;VAR:KEY=HSPCVOPEFE&amp;VAR:QUERY=RkZfREVCVF9MVChTRU1JLDM5MzE4LDM5MzE4KQ==&amp;WINDOW=FIRST_POPUP&amp;HEIGHT=450&amp;WIDTH=450&amp;STAR","T_MAXIMIZED=FALSE&amp;VAR:CALENDAR=FIVEDAY&amp;VAR:SYMBOL=456486&amp;VAR:INDEX=0"}</definedName>
    <definedName name="_132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2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27__FDSAUDITLINK__" hidden="1">{"fdsup://directions/FAT Viewer?action=UPDATE&amp;creator=factset&amp;DYN_ARGS=TRUE&amp;DOC_NAME=FAT:FQL_AUDITING_CLIENT_TEMPLATE.FAT&amp;display_string=Audit&amp;VAR:KEY=LQDKPOBEDE&amp;VAR:QUERY=RkZfREVCVF9MVChTRU1JLDM5MzExLDM5MzExKQ==&amp;WINDOW=FIRST_POPUP&amp;HEIGHT=450&amp;WIDTH=450&amp;STAR","T_MAXIMIZED=FALSE&amp;VAR:CALENDAR=FIVEDAY&amp;VAR:SYMBOL=456486&amp;VAR:INDEX=0"}</definedName>
    <definedName name="_132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2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3__FDSAUDITLINK__" hidden="1">{"fdsup://IBCentral/FAT Viewer?action=UPDATE&amp;creator=factset&amp;DOC_NAME=fat:reuters_annual_source_window.fat&amp;display_string=Audit&amp;DYN_ARGS=TRUE&amp;VAR:ID1=510518&amp;VAR:RCODE=FCDP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30__FDSAUDITLINK__" hidden="1">{"fdsup://directions/FAT Viewer?action=UPDATE&amp;creator=factset&amp;DYN_ARGS=TRUE&amp;DOC_NAME=FAT:FQL_AUDITING_CLIENT_TEMPLATE.FAT&amp;display_string=Audit&amp;VAR:KEY=NEPILAPMDG&amp;VAR:QUERY=RkZfREVCVF9MVChTRU1JLDM5MzA0LDM5MzA0KQ==&amp;WINDOW=FIRST_POPUP&amp;HEIGHT=450&amp;WIDTH=450&amp;STAR","T_MAXIMIZED=FALSE&amp;VAR:CALENDAR=FIVEDAY&amp;VAR:SYMBOL=456486&amp;VAR:INDEX=0"}</definedName>
    <definedName name="_1331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32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33__FDSAUDITLINK__" hidden="1">{"fdsup://directions/FAT Viewer?action=UPDATE&amp;creator=factset&amp;DYN_ARGS=TRUE&amp;DOC_NAME=FAT:FQL_AUDITING_CLIENT_TEMPLATE.FAT&amp;display_string=Audit&amp;VAR:KEY=RCLYJOLSLA&amp;VAR:QUERY=RkZfREVCVF9MVChTRU1JLDM5Mjk3LDM5Mjk3KQ==&amp;WINDOW=FIRST_POPUP&amp;HEIGHT=450&amp;WIDTH=450&amp;STAR","T_MAXIMIZED=FALSE&amp;VAR:CALENDAR=FIVEDAY&amp;VAR:SYMBOL=456486&amp;VAR:INDEX=0"}</definedName>
    <definedName name="_1334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35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36__FDSAUDITLINK__" hidden="1">{"fdsup://directions/FAT Viewer?action=UPDATE&amp;creator=factset&amp;DYN_ARGS=TRUE&amp;DOC_NAME=FAT:FQL_AUDITING_CLIENT_TEMPLATE.FAT&amp;display_string=Audit&amp;VAR:KEY=JIVYZUXELM&amp;VAR:QUERY=RkZfREVCVF9MVChTRU1JLDM5MjkwLDM5MjkwKQ==&amp;WINDOW=FIRST_POPUP&amp;HEIGHT=450&amp;WIDTH=450&amp;STAR","T_MAXIMIZED=FALSE&amp;VAR:CALENDAR=FIVEDAY&amp;VAR:SYMBOL=456486&amp;VAR:INDEX=0"}</definedName>
    <definedName name="_1337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38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39__FDSAUDITLINK__" hidden="1">{"fdsup://directions/FAT Viewer?action=UPDATE&amp;creator=factset&amp;DYN_ARGS=TRUE&amp;DOC_NAME=FAT:FQL_AUDITING_CLIENT_TEMPLATE.FAT&amp;display_string=Audit&amp;VAR:KEY=BGFGBIRGBS&amp;VAR:QUERY=RkZfREVCVF9MVChTRU1JLDM5MjgzLDM5MjgzKQ==&amp;WINDOW=FIRST_POPUP&amp;HEIGHT=450&amp;WIDTH=450&amp;STAR","T_MAXIMIZED=FALSE&amp;VAR:CALENDAR=FIVEDAY&amp;VAR:SYMBOL=456486&amp;VAR:INDEX=0"}</definedName>
    <definedName name="_134__FDSAUDITLINK__" hidden="1">{"fdsup://IBCentral/FAT Viewer?action=UPDATE&amp;creator=factset&amp;DOC_NAME=fat:reuters_annual_source_window.fat&amp;display_string=Audit&amp;DYN_ARGS=TRUE&amp;VAR:ID1=510518&amp;VAR:RCODE=FCDP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40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41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42__FDSAUDITLINK__" hidden="1">{"fdsup://directions/FAT Viewer?action=UPDATE&amp;creator=factset&amp;DYN_ARGS=TRUE&amp;DOC_NAME=FAT:FQL_AUDITING_CLIENT_TEMPLATE.FAT&amp;display_string=Audit&amp;VAR:KEY=JYPIREDWRU&amp;VAR:QUERY=RkZfREVCVF9MVChTRU1JLDM5Mjc2LDM5Mjc2KQ==&amp;WINDOW=FIRST_POPUP&amp;HEIGHT=450&amp;WIDTH=450&amp;STAR","T_MAXIMIZED=FALSE&amp;VAR:CALENDAR=FIVEDAY&amp;VAR:SYMBOL=456486&amp;VAR:INDEX=0"}</definedName>
    <definedName name="_134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4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45__FDSAUDITLINK__" hidden="1">{"fdsup://directions/FAT Viewer?action=UPDATE&amp;creator=factset&amp;DYN_ARGS=TRUE&amp;DOC_NAME=FAT:FQL_AUDITING_CLIENT_TEMPLATE.FAT&amp;display_string=Audit&amp;VAR:KEY=VKVAJWRQLC&amp;VAR:QUERY=RkZfREVCVF9MVChTRU1JLDM5MjY5LDM5MjY5KQ==&amp;WINDOW=FIRST_POPUP&amp;HEIGHT=450&amp;WIDTH=450&amp;STAR","T_MAXIMIZED=FALSE&amp;VAR:CALENDAR=FIVEDAY&amp;VAR:SYMBOL=456486&amp;VAR:INDEX=0"}</definedName>
    <definedName name="_134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4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48__FDSAUDITLINK__" hidden="1">{"fdsup://directions/FAT Viewer?action=UPDATE&amp;creator=factset&amp;DYN_ARGS=TRUE&amp;DOC_NAME=FAT:FQL_AUDITING_CLIENT_TEMPLATE.FAT&amp;display_string=Audit&amp;VAR:KEY=NYXIXUBEVM&amp;VAR:QUERY=RkZfREVCVF9MVChTRU1JLDM5MjYyLDM5MjYyKQ==&amp;WINDOW=FIRST_POPUP&amp;HEIGHT=450&amp;WIDTH=450&amp;STAR","T_MAXIMIZED=FALSE&amp;VAR:CALENDAR=FIVEDAY&amp;VAR:SYMBOL=456486&amp;VAR:INDEX=0"}</definedName>
    <definedName name="_134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5__FDSAUDITLINK__" hidden="1">{"fdsup://IBCentral/FAT Viewer?action=UPDATE&amp;creator=factset&amp;DOC_NAME=fat:reuters_annual_source_window.fat&amp;display_string=Audit&amp;DYN_ARGS=TRUE&amp;VAR:ID1=510518&amp;VAR:RCODE=FCDP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5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51__FDSAUDITLINK__" hidden="1">{"fdsup://directions/FAT Viewer?action=UPDATE&amp;creator=factset&amp;DYN_ARGS=TRUE&amp;DOC_NAME=FAT:FQL_AUDITING_CLIENT_TEMPLATE.FAT&amp;display_string=Audit&amp;VAR:KEY=TURCPWTGRM&amp;VAR:QUERY=RkZfREVCVF9MVChTRU1JLDM5MjU1LDM5MjU1KQ==&amp;WINDOW=FIRST_POPUP&amp;HEIGHT=450&amp;WIDTH=450&amp;STAR","T_MAXIMIZED=FALSE&amp;VAR:CALENDAR=FIVEDAY&amp;VAR:SYMBOL=456486&amp;VAR:INDEX=0"}</definedName>
    <definedName name="_135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5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54__FDSAUDITLINK__" hidden="1">{"fdsup://directions/FAT Viewer?action=UPDATE&amp;creator=factset&amp;DYN_ARGS=TRUE&amp;DOC_NAME=FAT:FQL_AUDITING_CLIENT_TEMPLATE.FAT&amp;display_string=Audit&amp;VAR:KEY=ZCJEVUFMZE&amp;VAR:QUERY=RkZfREVCVF9MVChTRU1JLDM5MjQ4LDM5MjQ4KQ==&amp;WINDOW=FIRST_POPUP&amp;HEIGHT=450&amp;WIDTH=450&amp;STAR","T_MAXIMIZED=FALSE&amp;VAR:CALENDAR=FIVEDAY&amp;VAR:SYMBOL=456486&amp;VAR:INDEX=0"}</definedName>
    <definedName name="_135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5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57__FDSAUDITLINK__" hidden="1">{"fdsup://directions/FAT Viewer?action=UPDATE&amp;creator=factset&amp;DYN_ARGS=TRUE&amp;DOC_NAME=FAT:FQL_AUDITING_CLIENT_TEMPLATE.FAT&amp;display_string=Audit&amp;VAR:KEY=XMXWFERYXM&amp;VAR:QUERY=RkZfREVCVF9MVChTRU1JLDM5MjQxLDM5MjQxKQ==&amp;WINDOW=FIRST_POPUP&amp;HEIGHT=450&amp;WIDTH=450&amp;STAR","T_MAXIMIZED=FALSE&amp;VAR:CALENDAR=FIVEDAY&amp;VAR:SYMBOL=456486&amp;VAR:INDEX=0"}</definedName>
    <definedName name="_135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5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6__FDSAUDITLINK__" hidden="1">{"fdsup://IBCentral/FAT Viewer?action=UPDATE&amp;creator=factset&amp;DOC_NAME=fat:reuters_annual_source_window.fat&amp;display_string=Audit&amp;DYN_ARGS=TRUE&amp;VAR:ID1=510518&amp;VAR:RCODE=FCDP&amp;VAR:SDATE=20051299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60__FDSAUDITLINK__" hidden="1">{"fdsup://directions/FAT Viewer?action=UPDATE&amp;creator=factset&amp;DYN_ARGS=TRUE&amp;DOC_NAME=FAT:FQL_AUDITING_CLIENT_TEMPLATE.FAT&amp;display_string=Audit&amp;VAR:KEY=XMXGRMHQFA&amp;VAR:QUERY=RkZfREVCVF9MVChTRU1JLDM5MjM0LDM5MjM0KQ==&amp;WINDOW=FIRST_POPUP&amp;HEIGHT=450&amp;WIDTH=450&amp;STAR","T_MAXIMIZED=FALSE&amp;VAR:CALENDAR=FIVEDAY&amp;VAR:SYMBOL=456486&amp;VAR:INDEX=0"}</definedName>
    <definedName name="_1361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62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63__FDSAUDITLINK__" hidden="1">{"fdsup://directions/FAT Viewer?action=UPDATE&amp;creator=factset&amp;DYN_ARGS=TRUE&amp;DOC_NAME=FAT:FQL_AUDITING_CLIENT_TEMPLATE.FAT&amp;display_string=Audit&amp;VAR:KEY=FONSFOFKNE&amp;VAR:QUERY=RkZfREVCVF9MVChTRU1JLDM5MjI3LDM5MjI3KQ==&amp;WINDOW=FIRST_POPUP&amp;HEIGHT=450&amp;WIDTH=450&amp;STAR","T_MAXIMIZED=FALSE&amp;VAR:CALENDAR=FIVEDAY&amp;VAR:SYMBOL=456486&amp;VAR:INDEX=0"}</definedName>
    <definedName name="_1364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65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66__FDSAUDITLINK__" hidden="1">{"fdsup://directions/FAT Viewer?action=UPDATE&amp;creator=factset&amp;DYN_ARGS=TRUE&amp;DOC_NAME=FAT:FQL_AUDITING_CLIENT_TEMPLATE.FAT&amp;display_string=Audit&amp;VAR:KEY=FEPSNOVKBG&amp;VAR:QUERY=RkZfREVCVF9MVChTRU1JLDM5MjIwLDM5MjIwKQ==&amp;WINDOW=FIRST_POPUP&amp;HEIGHT=450&amp;WIDTH=450&amp;STAR","T_MAXIMIZED=FALSE&amp;VAR:CALENDAR=FIVEDAY&amp;VAR:SYMBOL=456486&amp;VAR:INDEX=0"}</definedName>
    <definedName name="_1367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68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69__FDSAUDITLINK__" hidden="1">{"fdsup://directions/FAT Viewer?action=UPDATE&amp;creator=factset&amp;DYN_ARGS=TRUE&amp;DOC_NAME=FAT:FQL_AUDITING_CLIENT_TEMPLATE.FAT&amp;display_string=Audit&amp;VAR:KEY=RWRONYHKVG&amp;VAR:QUERY=RkZfREVCVF9MVChTRU1JLDM5MjEzLDM5MjEzKQ==&amp;WINDOW=FIRST_POPUP&amp;HEIGHT=450&amp;WIDTH=450&amp;STAR","T_MAXIMIZED=FALSE&amp;VAR:CALENDAR=FIVEDAY&amp;VAR:SYMBOL=456486&amp;VAR:INDEX=0"}</definedName>
    <definedName name="_137__FDSAUDITLINK__" hidden="1">{"fdsup://IBCentral/FAT Viewer?action=UPDATE&amp;creator=factset&amp;DOC_NAME=fat:reuters_annual_source_window.fat&amp;display_string=Audit&amp;DYN_ARGS=TRUE&amp;VAR:ID1=510518&amp;VAR:RCODE=FCDP&amp;VAR:SDATE=20041299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70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71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72__FDSAUDITLINK__" hidden="1">{"fdsup://directions/FAT Viewer?action=UPDATE&amp;creator=factset&amp;DYN_ARGS=TRUE&amp;DOC_NAME=FAT:FQL_AUDITING_CLIENT_TEMPLATE.FAT&amp;display_string=Audit&amp;VAR:KEY=FMBIVINMLS&amp;VAR:QUERY=RkZfREVCVF9MVChTRU1JLDM5MjA2LDM5MjA2KQ==&amp;WINDOW=FIRST_POPUP&amp;HEIGHT=450&amp;WIDTH=450&amp;STAR","T_MAXIMIZED=FALSE&amp;VAR:CALENDAR=FIVEDAY&amp;VAR:SYMBOL=456486&amp;VAR:INDEX=0"}</definedName>
    <definedName name="_137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7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75__FDSAUDITLINK__" hidden="1">{"fdsup://directions/FAT Viewer?action=UPDATE&amp;creator=factset&amp;DYN_ARGS=TRUE&amp;DOC_NAME=FAT:FQL_AUDITING_CLIENT_TEMPLATE.FAT&amp;display_string=Audit&amp;VAR:KEY=VUPKVWLUZC&amp;VAR:QUERY=RkZfREVCVF9MVChTRU1JLDM5MTk5LDM5MTk5KQ==&amp;WINDOW=FIRST_POPUP&amp;HEIGHT=450&amp;WIDTH=450&amp;STAR","T_MAXIMIZED=FALSE&amp;VAR:CALENDAR=FIVEDAY&amp;VAR:SYMBOL=456486&amp;VAR:INDEX=0"}</definedName>
    <definedName name="_137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7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78__FDSAUDITLINK__" hidden="1">{"fdsup://directions/FAT Viewer?action=UPDATE&amp;creator=factset&amp;DYN_ARGS=TRUE&amp;DOC_NAME=FAT:FQL_AUDITING_CLIENT_TEMPLATE.FAT&amp;display_string=Audit&amp;VAR:KEY=XMPGHAJOPQ&amp;VAR:QUERY=RkZfREVCVF9MVChTRU1JLDM5MTkyLDM5MTkyKQ==&amp;WINDOW=FIRST_POPUP&amp;HEIGHT=450&amp;WIDTH=450&amp;STAR","T_MAXIMIZED=FALSE&amp;VAR:CALENDAR=FIVEDAY&amp;VAR:SYMBOL=456486&amp;VAR:INDEX=0"}</definedName>
    <definedName name="_137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8__FDSAUDITLINK__" hidden="1">{"fdsup://IBCentral/FAT Viewer?action=UPDATE&amp;creator=factset&amp;DOC_NAME=fat:reuters_annual_source_window.fat&amp;display_string=Audit&amp;DYN_ARGS=TRUE&amp;VAR:ID1=510518&amp;VAR:RCODE=FCDP&amp;VAR:SDATE=20031299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8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81__FDSAUDITLINK__" hidden="1">{"fdsup://directions/FAT Viewer?action=UPDATE&amp;creator=factset&amp;DYN_ARGS=TRUE&amp;DOC_NAME=FAT:FQL_AUDITING_CLIENT_TEMPLATE.FAT&amp;display_string=Audit&amp;VAR:KEY=XCLWXUBSTS&amp;VAR:QUERY=RkZfREVCVF9MVChTRU1JLDM5MTg1LDM5MTg1KQ==&amp;WINDOW=FIRST_POPUP&amp;HEIGHT=450&amp;WIDTH=450&amp;STAR","T_MAXIMIZED=FALSE&amp;VAR:CALENDAR=FIVEDAY&amp;VAR:SYMBOL=456486&amp;VAR:INDEX=0"}</definedName>
    <definedName name="_138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8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84__FDSAUDITLINK__" hidden="1">{"fdsup://directions/FAT Viewer?action=UPDATE&amp;creator=factset&amp;DYN_ARGS=TRUE&amp;DOC_NAME=FAT:FQL_AUDITING_CLIENT_TEMPLATE.FAT&amp;display_string=Audit&amp;VAR:KEY=PYNUJIFAFW&amp;VAR:QUERY=RkZfREVCVF9MVChTRU1JLDM5MTc4LDM5MTc4KQ==&amp;WINDOW=FIRST_POPUP&amp;HEIGHT=450&amp;WIDTH=450&amp;STAR","T_MAXIMIZED=FALSE&amp;VAR:CALENDAR=FIVEDAY&amp;VAR:SYMBOL=456486&amp;VAR:INDEX=0"}</definedName>
    <definedName name="_138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8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87__FDSAUDITLINK__" hidden="1">{"fdsup://directions/FAT Viewer?action=UPDATE&amp;creator=factset&amp;DYN_ARGS=TRUE&amp;DOC_NAME=FAT:FQL_AUDITING_CLIENT_TEMPLATE.FAT&amp;display_string=Audit&amp;VAR:KEY=FSZGZCPUJK&amp;VAR:QUERY=RkZfREVCVF9MVChTRU1JLDM5MTcxLDM5MTcxKQ==&amp;WINDOW=FIRST_POPUP&amp;HEIGHT=450&amp;WIDTH=450&amp;STAR","T_MAXIMIZED=FALSE&amp;VAR:CALENDAR=FIVEDAY&amp;VAR:SYMBOL=456486&amp;VAR:INDEX=0"}</definedName>
    <definedName name="_138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8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9__FDSAUDITLINK__" hidden="1">{"fdsup://IBCentral/FAT Viewer?action=UPDATE&amp;creator=factset&amp;DOC_NAME=fat:reuters_annual_source_window.fat&amp;display_string=Audit&amp;DYN_ARGS=TRUE&amp;VAR:ID1=510518&amp;VAR:RCODE=FCDP&amp;VAR:SDATE=20021299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90__FDSAUDITLINK__" hidden="1">{"fdsup://directions/FAT Viewer?action=UPDATE&amp;creator=factset&amp;DYN_ARGS=TRUE&amp;DOC_NAME=FAT:FQL_AUDITING_CLIENT_TEMPLATE.FAT&amp;display_string=Audit&amp;VAR:KEY=XYZWPMLIVQ&amp;VAR:QUERY=RkZfREVCVF9MVChTRU1JLDM5MTY0LDM5MTY0KQ==&amp;WINDOW=FIRST_POPUP&amp;HEIGHT=450&amp;WIDTH=450&amp;STAR","T_MAXIMIZED=FALSE&amp;VAR:CALENDAR=FIVEDAY&amp;VAR:SYMBOL=456486&amp;VAR:INDEX=0"}</definedName>
    <definedName name="_1391__FDSAUDITLINK__" hidden="1">{"fdsup://directions/FAT Viewer?action=UPDATE&amp;creator=factset&amp;DYN_ARGS=TRUE&amp;DOC_NAME=FAT:FQL_AUDITING_CLIENT_TEMPLATE.FAT&amp;display_string=Audit&amp;VAR:KEY=ROXCJCFIBI&amp;VAR:QUERY=RkZfREVCVF9MVChTRU1JLDM5MTU3LDM5MTU3KQ==&amp;WINDOW=FIRST_POPUP&amp;HEIGHT=450&amp;WIDTH=450&amp;STAR","T_MAXIMIZED=FALSE&amp;VAR:CALENDAR=FIVEDAY&amp;VAR:SYMBOL=456486&amp;VAR:INDEX=0"}</definedName>
    <definedName name="_1392__FDSAUDITLINK__" hidden="1">{"fdsup://directions/FAT Viewer?action=UPDATE&amp;creator=factset&amp;DYN_ARGS=TRUE&amp;DOC_NAME=FAT:FQL_AUDITING_CLIENT_TEMPLATE.FAT&amp;display_string=Audit&amp;VAR:KEY=HAZYFSXUBY&amp;VAR:QUERY=RkZfREVCVF9MVChTRU1JLDM5MTUwLDM5MTUwKQ==&amp;WINDOW=FIRST_POPUP&amp;HEIGHT=450&amp;WIDTH=450&amp;STAR","T_MAXIMIZED=FALSE&amp;VAR:CALENDAR=FIVEDAY&amp;VAR:SYMBOL=456486&amp;VAR:INDEX=0"}</definedName>
    <definedName name="_1393__FDSAUDITLINK__" hidden="1">{"fdsup://directions/FAT Viewer?action=UPDATE&amp;creator=factset&amp;DYN_ARGS=TRUE&amp;DOC_NAME=FAT:FQL_AUDITING_CLIENT_TEMPLATE.FAT&amp;display_string=Audit&amp;VAR:KEY=VYDGRSRWTO&amp;VAR:QUERY=RkZfREVCVF9MVChTRU1JLDM5MTQzLDM5MTQzKQ==&amp;WINDOW=FIRST_POPUP&amp;HEIGHT=450&amp;WIDTH=450&amp;STAR","T_MAXIMIZED=FALSE&amp;VAR:CALENDAR=FIVEDAY&amp;VAR:SYMBOL=456486&amp;VAR:INDEX=0"}</definedName>
    <definedName name="_1394__FDSAUDITLINK__" hidden="1">{"fdsup://directions/FAT Viewer?action=UPDATE&amp;creator=factset&amp;DYN_ARGS=TRUE&amp;DOC_NAME=FAT:FQL_AUDITING_CLIENT_TEMPLATE.FAT&amp;display_string=Audit&amp;VAR:KEY=XIRAJKBMDO&amp;VAR:QUERY=RkZfREVCVF9MVChTRU1JLDM5MTM2LDM5MTM2KQ==&amp;WINDOW=FIRST_POPUP&amp;HEIGHT=450&amp;WIDTH=450&amp;STAR","T_MAXIMIZED=FALSE&amp;VAR:CALENDAR=FIVEDAY&amp;VAR:SYMBOL=456486&amp;VAR:INDEX=0"}</definedName>
    <definedName name="_1395__FDSAUDITLINK__" hidden="1">{"fdsup://directions/FAT Viewer?action=UPDATE&amp;creator=factset&amp;DYN_ARGS=TRUE&amp;DOC_NAME=FAT:FQL_AUDITING_CLIENT_TEMPLATE.FAT&amp;display_string=Audit&amp;VAR:KEY=TEHQFWDSVC&amp;VAR:QUERY=RkZfREVCVF9MVChTRU1JLDM5MTI5LDM5MTI5KQ==&amp;WINDOW=FIRST_POPUP&amp;HEIGHT=450&amp;WIDTH=450&amp;STAR","T_MAXIMIZED=FALSE&amp;VAR:CALENDAR=FIVEDAY&amp;VAR:SYMBOL=456486&amp;VAR:INDEX=0"}</definedName>
    <definedName name="_1396__FDSAUDITLINK__" hidden="1">{"fdsup://directions/FAT Viewer?action=UPDATE&amp;creator=factset&amp;DYN_ARGS=TRUE&amp;DOC_NAME=FAT:FQL_AUDITING_CLIENT_TEMPLATE.FAT&amp;display_string=Audit&amp;VAR:KEY=VWXGLCFANM&amp;VAR:QUERY=RkZfREVCVF9MVChTRU1JLDM5MTIyLDM5MTIyKQ==&amp;WINDOW=FIRST_POPUP&amp;HEIGHT=450&amp;WIDTH=450&amp;STAR","T_MAXIMIZED=FALSE&amp;VAR:CALENDAR=FIVEDAY&amp;VAR:SYMBOL=456486&amp;VAR:INDEX=0"}</definedName>
    <definedName name="_1397__FDSAUDITLINK__" hidden="1">{"fdsup://directions/FAT Viewer?action=UPDATE&amp;creator=factset&amp;DYN_ARGS=TRUE&amp;DOC_NAME=FAT:FQL_AUDITING_CLIENT_TEMPLATE.FAT&amp;display_string=Audit&amp;VAR:KEY=VWJGZKHCVW&amp;VAR:QUERY=RkZfREVCVF9MVChTRU1JLDM5MTE1LDM5MTE1KQ==&amp;WINDOW=FIRST_POPUP&amp;HEIGHT=450&amp;WIDTH=450&amp;STAR","T_MAXIMIZED=FALSE&amp;VAR:CALENDAR=FIVEDAY&amp;VAR:SYMBOL=456486&amp;VAR:INDEX=0"}</definedName>
    <definedName name="_1398__FDSAUDITLINK__" hidden="1">{"fdsup://directions/FAT Viewer?action=UPDATE&amp;creator=factset&amp;DYN_ARGS=TRUE&amp;DOC_NAME=FAT:FQL_AUDITING_CLIENT_TEMPLATE.FAT&amp;display_string=Audit&amp;VAR:KEY=DOFKBIFGRS&amp;VAR:QUERY=RkZfREVCVF9MVChTRU1JLDM5MTA4LDM5MTA4KQ==&amp;WINDOW=FIRST_POPUP&amp;HEIGHT=450&amp;WIDTH=450&amp;STAR","T_MAXIMIZED=FALSE&amp;VAR:CALENDAR=FIVEDAY&amp;VAR:SYMBOL=456486&amp;VAR:INDEX=0"}</definedName>
    <definedName name="_1399__FDSAUDITLINK__" hidden="1">{"fdsup://directions/FAT Viewer?action=UPDATE&amp;creator=factset&amp;DYN_ARGS=TRUE&amp;DOC_NAME=FAT:FQL_AUDITING_CLIENT_TEMPLATE.FAT&amp;display_string=Audit&amp;VAR:KEY=JCXKPQDCNI&amp;VAR:QUERY=RkZfREVCVF9MVChTRU1JLDM5MTAxLDM5MTAxKQ==&amp;WINDOW=FIRST_POPUP&amp;HEIGHT=450&amp;WIDTH=450&amp;STAR","T_MAXIMIZED=FALSE&amp;VAR:CALENDAR=FIVEDAY&amp;VAR:SYMBOL=456486&amp;VAR:INDEX=0"}</definedName>
    <definedName name="_140__FDSAUDITLINK__" hidden="1">{"fdsup://IBCentral/FAT Viewer?action=UPDATE&amp;creator=factset&amp;DOC_NAME=fat:reuters_annual_source_window.fat&amp;display_string=Audit&amp;DYN_ARGS=TRUE&amp;VAR:ID1=510518&amp;VAR:RCODE=FCDP&amp;VAR:SDATE=20011299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00__FDSAUDITLINK__" hidden="1">{"fdsup://directions/FAT Viewer?action=UPDATE&amp;creator=factset&amp;DYN_ARGS=TRUE&amp;DOC_NAME=FAT:FQL_AUDITING_CLIENT_TEMPLATE.FAT&amp;display_string=Audit&amp;VAR:KEY=TUBUDQBMNU&amp;VAR:QUERY=RkZfREVCVF9MVChTRU1JLDM5MDk0LDM5MDk0KQ==&amp;WINDOW=FIRST_POPUP&amp;HEIGHT=450&amp;WIDTH=450&amp;STAR","T_MAXIMIZED=FALSE&amp;VAR:CALENDAR=FIVEDAY&amp;VAR:SYMBOL=456486&amp;VAR:INDEX=0"}</definedName>
    <definedName name="_1401__FDSAUDITLINK__" hidden="1">{"fdsup://directions/FAT Viewer?action=UPDATE&amp;creator=factset&amp;DYN_ARGS=TRUE&amp;DOC_NAME=FAT:FQL_AUDITING_CLIENT_TEMPLATE.FAT&amp;display_string=Audit&amp;VAR:KEY=TSNERUDKPC&amp;VAR:QUERY=RkZfREVCVF9MVChTRU1JLDM5MDg3LDM5MDg3KQ==&amp;WINDOW=FIRST_POPUP&amp;HEIGHT=450&amp;WIDTH=450&amp;STAR","T_MAXIMIZED=FALSE&amp;VAR:CALENDAR=FIVEDAY&amp;VAR:SYMBOL=456486&amp;VAR:INDEX=0"}</definedName>
    <definedName name="_1402__FDSAUDITLINK__" hidden="1">{"fdsup://directions/FAT Viewer?action=UPDATE&amp;creator=factset&amp;DYN_ARGS=TRUE&amp;DOC_NAME=FAT:FQL_AUDITING_CLIENT_TEMPLATE.FAT&amp;display_string=Audit&amp;VAR:KEY=PKNEBQPUPU&amp;VAR:QUERY=RkZfREVCVF9MVChTRU1JLDM5MDgwLDM5MDgwKQ==&amp;WINDOW=FIRST_POPUP&amp;HEIGHT=450&amp;WIDTH=450&amp;STAR","T_MAXIMIZED=FALSE&amp;VAR:CALENDAR=FIVEDAY&amp;VAR:SYMBOL=456486&amp;VAR:INDEX=0"}</definedName>
    <definedName name="_1403__FDSAUDITLINK__" hidden="1">{"fdsup://directions/FAT Viewer?action=UPDATE&amp;creator=factset&amp;DYN_ARGS=TRUE&amp;DOC_NAME=FAT:FQL_AUDITING_CLIENT_TEMPLATE.FAT&amp;display_string=Audit&amp;VAR:KEY=VEFELCNQBU&amp;VAR:QUERY=RkZfREVCVF9MVChTRU1JLDM5MDczLDM5MDczKQ==&amp;WINDOW=FIRST_POPUP&amp;HEIGHT=450&amp;WIDTH=450&amp;STAR","T_MAXIMIZED=FALSE&amp;VAR:CALENDAR=FIVEDAY&amp;VAR:SYMBOL=456486&amp;VAR:INDEX=0"}</definedName>
    <definedName name="_1404__FDSAUDITLINK__" hidden="1">{"fdsup://directions/FAT Viewer?action=UPDATE&amp;creator=factset&amp;DYN_ARGS=TRUE&amp;DOC_NAME=FAT:FQL_AUDITING_CLIENT_TEMPLATE.FAT&amp;display_string=Audit&amp;VAR:KEY=NCVSPQBKZC&amp;VAR:QUERY=RkZfREVCVF9MVChTRU1JLDM5MDY2LDM5MDY2KQ==&amp;WINDOW=FIRST_POPUP&amp;HEIGHT=450&amp;WIDTH=450&amp;STAR","T_MAXIMIZED=FALSE&amp;VAR:CALENDAR=FIVEDAY&amp;VAR:SYMBOL=456486&amp;VAR:INDEX=0"}</definedName>
    <definedName name="_1405__FDSAUDITLINK__" hidden="1">{"fdsup://directions/FAT Viewer?action=UPDATE&amp;creator=factset&amp;DYN_ARGS=TRUE&amp;DOC_NAME=FAT:FQL_AUDITING_CLIENT_TEMPLATE.FAT&amp;display_string=Audit&amp;VAR:KEY=DEDMJAHYDW&amp;VAR:QUERY=RkZfREVCVF9MVChTRU1JLDM5MDU5LDM5MDU5KQ==&amp;WINDOW=FIRST_POPUP&amp;HEIGHT=450&amp;WIDTH=450&amp;STAR","T_MAXIMIZED=FALSE&amp;VAR:CALENDAR=FIVEDAY&amp;VAR:SYMBOL=456486&amp;VAR:INDEX=0"}</definedName>
    <definedName name="_1406__FDSAUDITLINK__" hidden="1">{"fdsup://directions/FAT Viewer?action=UPDATE&amp;creator=factset&amp;DYN_ARGS=TRUE&amp;DOC_NAME=FAT:FQL_AUDITING_CLIENT_TEMPLATE.FAT&amp;display_string=Audit&amp;VAR:KEY=DIFOXONGPE&amp;VAR:QUERY=RkZfREVCVF9MVChTRU1JLDM5MDUyLDM5MDUyKQ==&amp;WINDOW=FIRST_POPUP&amp;HEIGHT=450&amp;WIDTH=450&amp;STAR","T_MAXIMIZED=FALSE&amp;VAR:CALENDAR=FIVEDAY&amp;VAR:SYMBOL=456486&amp;VAR:INDEX=0"}</definedName>
    <definedName name="_1407__FDSAUDITLINK__" hidden="1">{"fdsup://directions/FAT Viewer?action=UPDATE&amp;creator=factset&amp;DYN_ARGS=TRUE&amp;DOC_NAME=FAT:FQL_AUDITING_CLIENT_TEMPLATE.FAT&amp;display_string=Audit&amp;VAR:KEY=BMZGFQJKBG&amp;VAR:QUERY=RkZfREVCVF9MVChTRU1JLDM5MDQ1LDM5MDQ1KQ==&amp;WINDOW=FIRST_POPUP&amp;HEIGHT=450&amp;WIDTH=450&amp;STAR","T_MAXIMIZED=FALSE&amp;VAR:CALENDAR=FIVEDAY&amp;VAR:SYMBOL=456486&amp;VAR:INDEX=0"}</definedName>
    <definedName name="_1408__FDSAUDITLINK__" hidden="1">{"fdsup://directions/FAT Viewer?action=UPDATE&amp;creator=factset&amp;DYN_ARGS=TRUE&amp;DOC_NAME=FAT:FQL_AUDITING_CLIENT_TEMPLATE.FAT&amp;display_string=Audit&amp;VAR:KEY=XQVOTIBGPO&amp;VAR:QUERY=RkZfREVCVF9MVChTRU1JLDM5MDM4LDM5MDM4KQ==&amp;WINDOW=FIRST_POPUP&amp;HEIGHT=450&amp;WIDTH=450&amp;STAR","T_MAXIMIZED=FALSE&amp;VAR:CALENDAR=FIVEDAY&amp;VAR:SYMBOL=456486&amp;VAR:INDEX=0"}</definedName>
    <definedName name="_1409__FDSAUDITLINK__" hidden="1">{"fdsup://directions/FAT Viewer?action=UPDATE&amp;creator=factset&amp;DYN_ARGS=TRUE&amp;DOC_NAME=FAT:FQL_AUDITING_CLIENT_TEMPLATE.FAT&amp;display_string=Audit&amp;VAR:KEY=PUBGDWRCPQ&amp;VAR:QUERY=RkZfREVCVF9MVChTRU1JLDM5MDMxLDM5MDMxKQ==&amp;WINDOW=FIRST_POPUP&amp;HEIGHT=450&amp;WIDTH=450&amp;STAR","T_MAXIMIZED=FALSE&amp;VAR:CALENDAR=FIVEDAY&amp;VAR:SYMBOL=456486&amp;VAR:INDEX=0"}</definedName>
    <definedName name="_141__FDSAUDITLINK__" hidden="1">{"fdsup://IBCentral/FAT Viewer?action=UPDATE&amp;creator=factset&amp;DOC_NAME=fat:reuters_annual_source_window.fat&amp;display_string=Audit&amp;DYN_ARGS=TRUE&amp;VAR:ID1=510518&amp;VAR:RCODE=FCDP&amp;VAR:SDATE=20001299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10__FDSAUDITLINK__" hidden="1">{"fdsup://directions/FAT Viewer?action=UPDATE&amp;creator=factset&amp;DYN_ARGS=TRUE&amp;DOC_NAME=FAT:FQL_AUDITING_CLIENT_TEMPLATE.FAT&amp;display_string=Audit&amp;VAR:KEY=JMPAHQXQVA&amp;VAR:QUERY=RkZfREVCVF9MVChTRU1JLDQwMzI2LDQwMzI2KQ==&amp;WINDOW=FIRST_POPUP&amp;HEIGHT=450&amp;WIDTH=450&amp;STAR","T_MAXIMIZED=FALSE&amp;VAR:CALENDAR=FIVEDAY&amp;VAR:SYMBOL=456486&amp;VAR:INDEX=0"}</definedName>
    <definedName name="_141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1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13__FDSAUDITLINK__" hidden="1">{"fdsup://directions/FAT Viewer?action=UPDATE&amp;creator=factset&amp;DYN_ARGS=TRUE&amp;DOC_NAME=FAT:FQL_AUDITING_CLIENT_TEMPLATE.FAT&amp;display_string=Audit&amp;VAR:KEY=TYLMZEVKTY&amp;VAR:QUERY=RkZfREVCVF9MVChTRU1JLDQwMzE5LDQwMzE5KQ==&amp;WINDOW=FIRST_POPUP&amp;HEIGHT=450&amp;WIDTH=450&amp;STAR","T_MAXIMIZED=FALSE&amp;VAR:CALENDAR=FIVEDAY&amp;VAR:SYMBOL=456486&amp;VAR:INDEX=0"}</definedName>
    <definedName name="_141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1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16__FDSAUDITLINK__" hidden="1">{"fdsup://directions/FAT Viewer?action=UPDATE&amp;creator=factset&amp;DYN_ARGS=TRUE&amp;DOC_NAME=FAT:FQL_AUDITING_CLIENT_TEMPLATE.FAT&amp;display_string=Audit&amp;VAR:KEY=FMFARGREDI&amp;VAR:QUERY=RkZfREVCVF9MVChTRU1JLDQwMzEyLDQwMzEyKQ==&amp;WINDOW=FIRST_POPUP&amp;HEIGHT=450&amp;WIDTH=450&amp;STAR","T_MAXIMIZED=FALSE&amp;VAR:CALENDAR=FIVEDAY&amp;VAR:SYMBOL=456486&amp;VAR:INDEX=0"}</definedName>
    <definedName name="_1417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18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19__FDSAUDITLINK__" hidden="1">{"fdsup://directions/FAT Viewer?action=UPDATE&amp;creator=factset&amp;DYN_ARGS=TRUE&amp;DOC_NAME=FAT:FQL_AUDITING_CLIENT_TEMPLATE.FAT&amp;display_string=Audit&amp;VAR:KEY=FKVCFETKLG&amp;VAR:QUERY=RkZfREVCVF9MVChTRU1JLDQwMzA1LDQwMzA1KQ==&amp;WINDOW=FIRST_POPUP&amp;HEIGHT=450&amp;WIDTH=450&amp;STAR","T_MAXIMIZED=FALSE&amp;VAR:CALENDAR=FIVEDAY&amp;VAR:SYMBOL=456486&amp;VAR:INDEX=0"}</definedName>
    <definedName name="_142__FDSAUDITLINK__" hidden="1">{"fdsup://IBCentral/FAT Viewer?action=UPDATE&amp;creator=factset&amp;DOC_NAME=fat:reuters_annual_source_window.fat&amp;display_string=Audit&amp;DYN_ARGS=TRUE&amp;VAR:ID1=510518&amp;VAR:RCODE=FCDP&amp;VAR:SDATE=19991299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20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21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22__FDSAUDITLINK__" hidden="1">{"fdsup://directions/FAT Viewer?action=UPDATE&amp;creator=factset&amp;DYN_ARGS=TRUE&amp;DOC_NAME=FAT:FQL_AUDITING_CLIENT_TEMPLATE.FAT&amp;display_string=Audit&amp;VAR:KEY=RWTSZIBKRM&amp;VAR:QUERY=RkZfREVCVF9MVChTRU1JLDQwMjk4LDQwMjk4KQ==&amp;WINDOW=FIRST_POPUP&amp;HEIGHT=450&amp;WIDTH=450&amp;STAR","T_MAXIMIZED=FALSE&amp;VAR:CALENDAR=FIVEDAY&amp;VAR:SYMBOL=456486&amp;VAR:INDEX=0"}</definedName>
    <definedName name="_1423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24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25__FDSAUDITLINK__" hidden="1">{"fdsup://directions/FAT Viewer?action=UPDATE&amp;creator=factset&amp;DYN_ARGS=TRUE&amp;DOC_NAME=FAT:FQL_AUDITING_CLIENT_TEMPLATE.FAT&amp;display_string=Audit&amp;VAR:KEY=NQLAROLQDE&amp;VAR:QUERY=RkZfREVCVF9MVChTRU1JLDQwMjkxLDQwMjkxKQ==&amp;WINDOW=FIRST_POPUP&amp;HEIGHT=450&amp;WIDTH=450&amp;STAR","T_MAXIMIZED=FALSE&amp;VAR:CALENDAR=FIVEDAY&amp;VAR:SYMBOL=456486&amp;VAR:INDEX=0"}</definedName>
    <definedName name="_1426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27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28__FDSAUDITLINK__" hidden="1">{"fdsup://directions/FAT Viewer?action=UPDATE&amp;creator=factset&amp;DYN_ARGS=TRUE&amp;DOC_NAME=FAT:FQL_AUDITING_CLIENT_TEMPLATE.FAT&amp;display_string=Audit&amp;VAR:KEY=BERGVOVIXA&amp;VAR:QUERY=RkZfREVCVF9MVChTRU1JLDQwMjg0LDQwMjg0KQ==&amp;WINDOW=FIRST_POPUP&amp;HEIGHT=450&amp;WIDTH=450&amp;STAR","T_MAXIMIZED=FALSE&amp;VAR:CALENDAR=FIVEDAY&amp;VAR:SYMBOL=456486&amp;VAR:INDEX=0"}</definedName>
    <definedName name="_1429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3__FDSAUDITLINK__" hidden="1">{"fdsup://IBCentral/FAT Viewer?action=UPDATE&amp;creator=factset&amp;DOC_NAME=fat:reuters_annual_pshs_src_window.fat&amp;display_string=Audit&amp;DYN_ARGS=TRUE&amp;VAR:ID1=03073E10&amp;VAR:RCODE=FDSEPS&amp;VAR:SDATE=20080999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30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31__FDSAUDITLINK__" hidden="1">{"fdsup://directions/FAT Viewer?action=UPDATE&amp;creator=factset&amp;DYN_ARGS=TRUE&amp;DOC_NAME=FAT:FQL_AUDITING_CLIENT_TEMPLATE.FAT&amp;display_string=Audit&amp;VAR:KEY=VMJOLGVUDC&amp;VAR:QUERY=RkZfREVCVF9MVChTRU1JLDQwMjc3LDQwMjc3KQ==&amp;WINDOW=FIRST_POPUP&amp;HEIGHT=450&amp;WIDTH=450&amp;STAR","T_MAXIMIZED=FALSE&amp;VAR:CALENDAR=FIVEDAY&amp;VAR:SYMBOL=456486&amp;VAR:INDEX=0"}</definedName>
    <definedName name="_1432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33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34__FDSAUDITLINK__" hidden="1">{"fdsup://directions/FAT Viewer?action=UPDATE&amp;creator=factset&amp;DYN_ARGS=TRUE&amp;DOC_NAME=FAT:FQL_AUDITING_CLIENT_TEMPLATE.FAT&amp;display_string=Audit&amp;VAR:KEY=VEDWPMBKTK&amp;VAR:QUERY=RkZfREVCVF9MVChTRU1JLDQwMjcwLDQwMjcwKQ==&amp;WINDOW=FIRST_POPUP&amp;HEIGHT=450&amp;WIDTH=450&amp;STAR","T_MAXIMIZED=FALSE&amp;VAR:CALENDAR=FIVEDAY&amp;VAR:SYMBOL=456486&amp;VAR:INDEX=0"}</definedName>
    <definedName name="_1435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36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37__FDSAUDITLINK__" hidden="1">{"fdsup://directions/FAT Viewer?action=UPDATE&amp;creator=factset&amp;DYN_ARGS=TRUE&amp;DOC_NAME=FAT:FQL_AUDITING_CLIENT_TEMPLATE.FAT&amp;display_string=Audit&amp;VAR:KEY=BWHUJINQXW&amp;VAR:QUERY=RkZfREVCVF9MVChTRU1JLDQwMjYzLDQwMjYzKQ==&amp;WINDOW=FIRST_POPUP&amp;HEIGHT=450&amp;WIDTH=450&amp;STAR","T_MAXIMIZED=FALSE&amp;VAR:CALENDAR=FIVEDAY&amp;VAR:SYMBOL=456486&amp;VAR:INDEX=0"}</definedName>
    <definedName name="_1438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39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4__FDSAUDITLINK__" hidden="1">{"fdsup://IBCentral/FAT Viewer?action=UPDATE&amp;creator=factset&amp;DOC_NAME=fat:reuters_annual_pshs_src_window.fat&amp;display_string=Audit&amp;DYN_ARGS=TRUE&amp;VAR:ID1=03073E10&amp;VAR:RCODE=FDSEPS&amp;VAR:SDATE=20070999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40__FDSAUDITLINK__" hidden="1">{"fdsup://directions/FAT Viewer?action=UPDATE&amp;creator=factset&amp;DYN_ARGS=TRUE&amp;DOC_NAME=FAT:FQL_AUDITING_CLIENT_TEMPLATE.FAT&amp;display_string=Audit&amp;VAR:KEY=XGXOVOLWPE&amp;VAR:QUERY=RkZfREVCVF9MVChTRU1JLDQwMjU2LDQwMjU2KQ==&amp;WINDOW=FIRST_POPUP&amp;HEIGHT=450&amp;WIDTH=450&amp;STAR","T_MAXIMIZED=FALSE&amp;VAR:CALENDAR=FIVEDAY&amp;VAR:SYMBOL=456486&amp;VAR:INDEX=0"}</definedName>
    <definedName name="_144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4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43__FDSAUDITLINK__" hidden="1">{"fdsup://directions/FAT Viewer?action=UPDATE&amp;creator=factset&amp;DYN_ARGS=TRUE&amp;DOC_NAME=FAT:FQL_AUDITING_CLIENT_TEMPLATE.FAT&amp;display_string=Audit&amp;VAR:KEY=XIVQXQZSLM&amp;VAR:QUERY=RkZfREVCVF9MVChTRU1JLDQwMjQ5LDQwMjQ5KQ==&amp;WINDOW=FIRST_POPUP&amp;HEIGHT=450&amp;WIDTH=450&amp;STAR","T_MAXIMIZED=FALSE&amp;VAR:CALENDAR=FIVEDAY&amp;VAR:SYMBOL=456486&amp;VAR:INDEX=0"}</definedName>
    <definedName name="_144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4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46__FDSAUDITLINK__" hidden="1">{"fdsup://directions/FAT Viewer?action=UPDATE&amp;creator=factset&amp;DYN_ARGS=TRUE&amp;DOC_NAME=FAT:FQL_AUDITING_CLIENT_TEMPLATE.FAT&amp;display_string=Audit&amp;VAR:KEY=VEPGRERCTC&amp;VAR:QUERY=RkZfREVCVF9MVChTRU1JLDQwMjQyLDQwMjQyKQ==&amp;WINDOW=FIRST_POPUP&amp;HEIGHT=450&amp;WIDTH=450&amp;STAR","T_MAXIMIZED=FALSE&amp;VAR:CALENDAR=FIVEDAY&amp;VAR:SYMBOL=456486&amp;VAR:INDEX=0"}</definedName>
    <definedName name="_1447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48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49__FDSAUDITLINK__" hidden="1">{"fdsup://directions/FAT Viewer?action=UPDATE&amp;creator=factset&amp;DYN_ARGS=TRUE&amp;DOC_NAME=FAT:FQL_AUDITING_CLIENT_TEMPLATE.FAT&amp;display_string=Audit&amp;VAR:KEY=PUVIFWVKZQ&amp;VAR:QUERY=RkZfREVCVF9MVChTRU1JLDQwMjM1LDQwMjM1KQ==&amp;WINDOW=FIRST_POPUP&amp;HEIGHT=450&amp;WIDTH=450&amp;STAR","T_MAXIMIZED=FALSE&amp;VAR:CALENDAR=FIVEDAY&amp;VAR:SYMBOL=456486&amp;VAR:INDEX=0"}</definedName>
    <definedName name="_145__FDSAUDITLINK__" hidden="1">{"fdsup://IBCentral/FAT Viewer?action=UPDATE&amp;creator=factset&amp;DOC_NAME=fat:reuters_annual_pshs_src_window.fat&amp;display_string=Audit&amp;DYN_ARGS=TRUE&amp;VAR:ID1=03073E10&amp;VAR:RCODE=FDSEPS&amp;VAR:SDATE=20060999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50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51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52__FDSAUDITLINK__" hidden="1">{"fdsup://directions/FAT Viewer?action=UPDATE&amp;creator=factset&amp;DYN_ARGS=TRUE&amp;DOC_NAME=FAT:FQL_AUDITING_CLIENT_TEMPLATE.FAT&amp;display_string=Audit&amp;VAR:KEY=PSPYLEPQDY&amp;VAR:QUERY=RkZfREVCVF9MVChTRU1JLDQwMjI4LDQwMjI4KQ==&amp;WINDOW=FIRST_POPUP&amp;HEIGHT=450&amp;WIDTH=450&amp;STAR","T_MAXIMIZED=FALSE&amp;VAR:CALENDAR=FIVEDAY&amp;VAR:SYMBOL=456486&amp;VAR:INDEX=0"}</definedName>
    <definedName name="_1453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54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55__FDSAUDITLINK__" hidden="1">{"fdsup://directions/FAT Viewer?action=UPDATE&amp;creator=factset&amp;DYN_ARGS=TRUE&amp;DOC_NAME=FAT:FQL_AUDITING_CLIENT_TEMPLATE.FAT&amp;display_string=Audit&amp;VAR:KEY=RWNYBQFSZC&amp;VAR:QUERY=RkZfREVCVF9MVChTRU1JLDQwMjIxLDQwMjIxKQ==&amp;WINDOW=FIRST_POPUP&amp;HEIGHT=450&amp;WIDTH=450&amp;STAR","T_MAXIMIZED=FALSE&amp;VAR:CALENDAR=FIVEDAY&amp;VAR:SYMBOL=456486&amp;VAR:INDEX=0"}</definedName>
    <definedName name="_1456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57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58__FDSAUDITLINK__" hidden="1">{"fdsup://directions/FAT Viewer?action=UPDATE&amp;creator=factset&amp;DYN_ARGS=TRUE&amp;DOC_NAME=FAT:FQL_AUDITING_CLIENT_TEMPLATE.FAT&amp;display_string=Audit&amp;VAR:KEY=ZGXGBEBEFC&amp;VAR:QUERY=RkZfREVCVF9MVChTRU1JLDQwMjE0LDQwMjE0KQ==&amp;WINDOW=FIRST_POPUP&amp;HEIGHT=450&amp;WIDTH=450&amp;STAR","T_MAXIMIZED=FALSE&amp;VAR:CALENDAR=FIVEDAY&amp;VAR:SYMBOL=456486&amp;VAR:INDEX=0"}</definedName>
    <definedName name="_1459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6__FDSAUDITLINK__" hidden="1">{"fdsup://IBCentral/FAT Viewer?action=UPDATE&amp;creator=factset&amp;DOC_NAME=fat:reuters_annual_pshs_src_window.fat&amp;display_string=Audit&amp;DYN_ARGS=TRUE&amp;VAR:ID1=03073E10&amp;VAR:RCODE=FDSEPS&amp;VAR:SDATE=20050999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60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61__FDSAUDITLINK__" hidden="1">{"fdsup://directions/FAT Viewer?action=UPDATE&amp;creator=factset&amp;DYN_ARGS=TRUE&amp;DOC_NAME=FAT:FQL_AUDITING_CLIENT_TEMPLATE.FAT&amp;display_string=Audit&amp;VAR:KEY=PAJODGPSFC&amp;VAR:QUERY=RkZfREVCVF9MVChTRU1JLDQwMjA3LDQwMjA3KQ==&amp;WINDOW=FIRST_POPUP&amp;HEIGHT=450&amp;WIDTH=450&amp;STAR","T_MAXIMIZED=FALSE&amp;VAR:CALENDAR=FIVEDAY&amp;VAR:SYMBOL=456486&amp;VAR:INDEX=0"}</definedName>
    <definedName name="_1462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63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64__FDSAUDITLINK__" hidden="1">{"fdsup://directions/FAT Viewer?action=UPDATE&amp;creator=factset&amp;DYN_ARGS=TRUE&amp;DOC_NAME=FAT:FQL_AUDITING_CLIENT_TEMPLATE.FAT&amp;display_string=Audit&amp;VAR:KEY=LSRAFAXYLC&amp;VAR:QUERY=RkZfREVCVF9MVChTRU1JLDQwMjAwLDQwMjAwKQ==&amp;WINDOW=FIRST_POPUP&amp;HEIGHT=450&amp;WIDTH=450&amp;STAR","T_MAXIMIZED=FALSE&amp;VAR:CALENDAR=FIVEDAY&amp;VAR:SYMBOL=456486&amp;VAR:INDEX=0"}</definedName>
    <definedName name="_1465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66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67__FDSAUDITLINK__" hidden="1">{"fdsup://directions/FAT Viewer?action=UPDATE&amp;creator=factset&amp;DYN_ARGS=TRUE&amp;DOC_NAME=FAT:FQL_AUDITING_CLIENT_TEMPLATE.FAT&amp;display_string=Audit&amp;VAR:KEY=JSBYJWJEHQ&amp;VAR:QUERY=RkZfREVCVF9MVChTRU1JLDQwMTkzLDQwMTkzKQ==&amp;WINDOW=FIRST_POPUP&amp;HEIGHT=450&amp;WIDTH=450&amp;STAR","T_MAXIMIZED=FALSE&amp;VAR:CALENDAR=FIVEDAY&amp;VAR:SYMBOL=456486&amp;VAR:INDEX=0"}</definedName>
    <definedName name="_1468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69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7__FDSAUDITLINK__" hidden="1">{"fdsup://IBCentral/FAT Viewer?action=UPDATE&amp;creator=factset&amp;DOC_NAME=fat:reuters_annual_pshs_src_window.fat&amp;display_string=Audit&amp;DYN_ARGS=TRUE&amp;VAR:ID1=03073E10&amp;VAR:RCODE=FDSEPS&amp;VAR:SDATE=20040999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70__FDSAUDITLINK__" hidden="1">{"fdsup://directions/FAT Viewer?action=UPDATE&amp;creator=factset&amp;DYN_ARGS=TRUE&amp;DOC_NAME=FAT:FQL_AUDITING_CLIENT_TEMPLATE.FAT&amp;display_string=Audit&amp;VAR:KEY=ZORAJQJCZO&amp;VAR:QUERY=RkZfREVCVF9MVChTRU1JLDQwMTg2LDQwMTg2KQ==&amp;WINDOW=FIRST_POPUP&amp;HEIGHT=450&amp;WIDTH=450&amp;STAR","T_MAXIMIZED=FALSE&amp;VAR:CALENDAR=FIVEDAY&amp;VAR:SYMBOL=456486&amp;VAR:INDEX=0"}</definedName>
    <definedName name="_147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7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73__FDSAUDITLINK__" hidden="1">{"fdsup://directions/FAT Viewer?action=UPDATE&amp;creator=factset&amp;DYN_ARGS=TRUE&amp;DOC_NAME=FAT:FQL_AUDITING_CLIENT_TEMPLATE.FAT&amp;display_string=Audit&amp;VAR:KEY=XYTEBANYZY&amp;VAR:QUERY=RkZfREVCVF9MVChTRU1JLDQwMTc5LDQwMTc5KQ==&amp;WINDOW=FIRST_POPUP&amp;HEIGHT=450&amp;WIDTH=450&amp;STAR","T_MAXIMIZED=FALSE&amp;VAR:CALENDAR=FIVEDAY&amp;VAR:SYMBOL=456486&amp;VAR:INDEX=0"}</definedName>
    <definedName name="_147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7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76__FDSAUDITLINK__" hidden="1">{"fdsup://directions/FAT Viewer?action=UPDATE&amp;creator=factset&amp;DYN_ARGS=TRUE&amp;DOC_NAME=FAT:FQL_AUDITING_CLIENT_TEMPLATE.FAT&amp;display_string=Audit&amp;VAR:KEY=JEVELURMLA&amp;VAR:QUERY=RkZfREVCVF9MVChTRU1JLDQwMTcyLDQwMTcyKQ==&amp;WINDOW=FIRST_POPUP&amp;HEIGHT=450&amp;WIDTH=450&amp;STAR","T_MAXIMIZED=FALSE&amp;VAR:CALENDAR=FIVEDAY&amp;VAR:SYMBOL=456486&amp;VAR:INDEX=0"}</definedName>
    <definedName name="_1477__FDSAUDITLINK__" hidden="1">{"fdsup://directions/FAT Viewer?action=UPDATE&amp;creator=factset&amp;DYN_ARGS=TRUE&amp;DOC_NAME=FAT:FQL_AUDITING_CLIENT_TEMPLATE.FAT&amp;display_string=Audit&amp;VAR:KEY=TKVSHEPYLC&amp;VAR:QUERY=RkZfREVCVF9MVChTRU1JLDQwMTY1LDQwMTY1KQ==&amp;WINDOW=FIRST_POPUP&amp;HEIGHT=450&amp;WIDTH=450&amp;STAR","T_MAXIMIZED=FALSE&amp;VAR:CALENDAR=FIVEDAY&amp;VAR:SYMBOL=456486&amp;VAR:INDEX=0"}</definedName>
    <definedName name="_1478__FDSAUDITLINK__" hidden="1">{"fdsup://directions/FAT Viewer?action=UPDATE&amp;creator=factset&amp;DYN_ARGS=TRUE&amp;DOC_NAME=FAT:FQL_AUDITING_CLIENT_TEMPLATE.FAT&amp;display_string=Audit&amp;VAR:KEY=XOVKRORYVK&amp;VAR:QUERY=RkZfREVCVF9MVChTRU1JLDQwMTU4LDQwMTU4KQ==&amp;WINDOW=FIRST_POPUP&amp;HEIGHT=450&amp;WIDTH=450&amp;STAR","T_MAXIMIZED=FALSE&amp;VAR:CALENDAR=FIVEDAY&amp;VAR:SYMBOL=456486&amp;VAR:INDEX=0"}</definedName>
    <definedName name="_1479__FDSAUDITLINK__" hidden="1">{"fdsup://directions/FAT Viewer?action=UPDATE&amp;creator=factset&amp;DYN_ARGS=TRUE&amp;DOC_NAME=FAT:FQL_AUDITING_CLIENT_TEMPLATE.FAT&amp;display_string=Audit&amp;VAR:KEY=XMTKDATONI&amp;VAR:QUERY=RkZfREVCVF9MVChTRU1JLDQwMTUxLDQwMTUxKQ==&amp;WINDOW=FIRST_POPUP&amp;HEIGHT=450&amp;WIDTH=450&amp;STAR","T_MAXIMIZED=FALSE&amp;VAR:CALENDAR=FIVEDAY&amp;VAR:SYMBOL=456486&amp;VAR:INDEX=0"}</definedName>
    <definedName name="_148__FDSAUDITLINK__" hidden="1">{"fdsup://IBCentral/FAT Viewer?action=UPDATE&amp;creator=factset&amp;DOC_NAME=fat:reuters_annual_pshs_src_window.fat&amp;display_string=Audit&amp;DYN_ARGS=TRUE&amp;VAR:ID1=03073E10&amp;VAR:RCODE=FDSEPS&amp;VAR:SDATE=20030999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80__FDSAUDITLINK__" hidden="1">{"fdsup://directions/FAT Viewer?action=UPDATE&amp;creator=factset&amp;DYN_ARGS=TRUE&amp;DOC_NAME=FAT:FQL_AUDITING_CLIENT_TEMPLATE.FAT&amp;display_string=Audit&amp;VAR:KEY=PWVAFKRWVG&amp;VAR:QUERY=RkZfREVCVF9MVChTRU1JLDQwMTQ0LDQwMTQ0KQ==&amp;WINDOW=FIRST_POPUP&amp;HEIGHT=450&amp;WIDTH=450&amp;STAR","T_MAXIMIZED=FALSE&amp;VAR:CALENDAR=FIVEDAY&amp;VAR:SYMBOL=456486&amp;VAR:INDEX=0"}</definedName>
    <definedName name="_1481__FDSAUDITLINK__" hidden="1">{"fdsup://directions/FAT Viewer?action=UPDATE&amp;creator=factset&amp;DYN_ARGS=TRUE&amp;DOC_NAME=FAT:FQL_AUDITING_CLIENT_TEMPLATE.FAT&amp;display_string=Audit&amp;VAR:KEY=ZGVONIRCTU&amp;VAR:QUERY=RkZfREVCVF9MVChTRU1JLDQwMTM3LDQwMTM3KQ==&amp;WINDOW=FIRST_POPUP&amp;HEIGHT=450&amp;WIDTH=450&amp;STAR","T_MAXIMIZED=FALSE&amp;VAR:CALENDAR=FIVEDAY&amp;VAR:SYMBOL=456486&amp;VAR:INDEX=0"}</definedName>
    <definedName name="_1482__FDSAUDITLINK__" hidden="1">{"fdsup://directions/FAT Viewer?action=UPDATE&amp;creator=factset&amp;DYN_ARGS=TRUE&amp;DOC_NAME=FAT:FQL_AUDITING_CLIENT_TEMPLATE.FAT&amp;display_string=Audit&amp;VAR:KEY=FQVKLSHGVA&amp;VAR:QUERY=RkZfREVCVF9MVChTRU1JLDQwMTMwLDQwMTMwKQ==&amp;WINDOW=FIRST_POPUP&amp;HEIGHT=450&amp;WIDTH=450&amp;STAR","T_MAXIMIZED=FALSE&amp;VAR:CALENDAR=FIVEDAY&amp;VAR:SYMBOL=456486&amp;VAR:INDEX=0"}</definedName>
    <definedName name="_1483__FDSAUDITLINK__" hidden="1">{"fdsup://directions/FAT Viewer?action=UPDATE&amp;creator=factset&amp;DYN_ARGS=TRUE&amp;DOC_NAME=FAT:FQL_AUDITING_CLIENT_TEMPLATE.FAT&amp;display_string=Audit&amp;VAR:KEY=NQHSXETYFU&amp;VAR:QUERY=RkZfREVCVF9MVChTRU1JLDQwMTIzLDQwMTIzKQ==&amp;WINDOW=FIRST_POPUP&amp;HEIGHT=450&amp;WIDTH=450&amp;STAR","T_MAXIMIZED=FALSE&amp;VAR:CALENDAR=FIVEDAY&amp;VAR:SYMBOL=456486&amp;VAR:INDEX=0"}</definedName>
    <definedName name="_1484__FDSAUDITLINK__" hidden="1">{"fdsup://directions/FAT Viewer?action=UPDATE&amp;creator=factset&amp;DYN_ARGS=TRUE&amp;DOC_NAME=FAT:FQL_AUDITING_CLIENT_TEMPLATE.FAT&amp;display_string=Audit&amp;VAR:KEY=SXANWXGPGX&amp;VAR:QUERY=RkZfREVCVF9MVChRVFIsNDA0NDUsNDA0NDUp&amp;WINDOW=FIRST_POPUP&amp;HEIGHT=450&amp;WIDTH=450&amp;START_MA","XIMIZED=FALSE&amp;VAR:CALENDAR=FIVEDAY&amp;VAR:SYMBOL=576947&amp;VAR:INDEX=0"}</definedName>
    <definedName name="_1485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86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87__FDSAUDITLINK__" hidden="1">{"fdsup://directions/FAT Viewer?action=UPDATE&amp;creator=factset&amp;DYN_ARGS=TRUE&amp;DOC_NAME=FAT:FQL_AUDITING_CLIENT_TEMPLATE.FAT&amp;display_string=Audit&amp;VAR:KEY=IXUJAFOHUV&amp;VAR:QUERY=RkZfREVCVF9MVChRVFIsNDA0MzgsNDA0Mzgp&amp;WINDOW=FIRST_POPUP&amp;HEIGHT=450&amp;WIDTH=450&amp;START_MA","XIMIZED=FALSE&amp;VAR:CALENDAR=FIVEDAY&amp;VAR:SYMBOL=576947&amp;VAR:INDEX=0"}</definedName>
    <definedName name="_1488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89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9__FDSAUDITLINK__" hidden="1">{"fdsup://IBCentral/FAT Viewer?action=UPDATE&amp;creator=factset&amp;DOC_NAME=fat:reuters_annual_pshs_src_window.fat&amp;display_string=Audit&amp;DYN_ARGS=TRUE&amp;VAR:ID1=03073E10&amp;VAR:RCODE=FDSEPS&amp;VAR:SDATE=20020999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90__FDSAUDITLINK__" hidden="1">{"fdsup://directions/FAT Viewer?action=UPDATE&amp;creator=factset&amp;DYN_ARGS=TRUE&amp;DOC_NAME=FAT:FQL_AUDITING_CLIENT_TEMPLATE.FAT&amp;display_string=Audit&amp;VAR:KEY=GZABUXAZAX&amp;VAR:QUERY=RkZfREVCVF9MVChRVFIsNDA0MzEsNDA0MzEp&amp;WINDOW=FIRST_POPUP&amp;HEIGHT=450&amp;WIDTH=450&amp;START_MA","XIMIZED=FALSE&amp;VAR:CALENDAR=FIVEDAY&amp;VAR:SYMBOL=576947&amp;VAR:INDEX=0"}</definedName>
    <definedName name="_1491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92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93__FDSAUDITLINK__" hidden="1">{"fdsup://directions/FAT Viewer?action=UPDATE&amp;creator=factset&amp;DYN_ARGS=TRUE&amp;DOC_NAME=FAT:FQL_AUDITING_CLIENT_TEMPLATE.FAT&amp;display_string=Audit&amp;VAR:KEY=AZEVSRKFET&amp;VAR:QUERY=RkZfREVCVF9MVChRVFIsNDA0MjQsNDA0MjQp&amp;WINDOW=FIRST_POPUP&amp;HEIGHT=450&amp;WIDTH=450&amp;START_MA","XIMIZED=FALSE&amp;VAR:CALENDAR=FIVEDAY&amp;VAR:SYMBOL=576947&amp;VAR:INDEX=0"}</definedName>
    <definedName name="_1494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95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96__FDSAUDITLINK__" hidden="1">{"fdsup://directions/FAT Viewer?action=UPDATE&amp;creator=factset&amp;DYN_ARGS=TRUE&amp;DOC_NAME=FAT:FQL_AUDITING_CLIENT_TEMPLATE.FAT&amp;display_string=Audit&amp;VAR:KEY=ENEFQPEXQB&amp;VAR:QUERY=RkZfREVCVF9MVChRVFIsNDA0MTcsNDA0MTcp&amp;WINDOW=FIRST_POPUP&amp;HEIGHT=450&amp;WIDTH=450&amp;START_MA","XIMIZED=FALSE&amp;VAR:CALENDAR=FIVEDAY&amp;VAR:SYMBOL=576947&amp;VAR:INDEX=0"}</definedName>
    <definedName name="_1497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98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99__FDSAUDITLINK__" hidden="1">{"fdsup://directions/FAT Viewer?action=UPDATE&amp;creator=factset&amp;DYN_ARGS=TRUE&amp;DOC_NAME=FAT:FQL_AUDITING_CLIENT_TEMPLATE.FAT&amp;display_string=Audit&amp;VAR:KEY=EHCRSDYNCJ&amp;VAR:QUERY=RkZfREVCVF9MVChRVFIsNDA0MTAsNDA0MTAp&amp;WINDOW=FIRST_POPUP&amp;HEIGHT=450&amp;WIDTH=450&amp;START_MA","XIMIZED=FALSE&amp;VAR:CALENDAR=FIVEDAY&amp;VAR:SYMBOL=576947&amp;VAR:INDEX=0"}</definedName>
    <definedName name="_150__FDSAUDITLINK__" hidden="1">{"fdsup://IBCentral/FAT Viewer?action=UPDATE&amp;creator=factset&amp;DOC_NAME=fat:reuters_annual_pshs_src_window.fat&amp;display_string=Audit&amp;DYN_ARGS=TRUE&amp;VAR:ID1=03073E10&amp;VAR:RCODE=FDSEPS&amp;VAR:SDATE=20010999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00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01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02__FDSAUDITLINK__" hidden="1">{"fdsup://directions/FAT Viewer?action=UPDATE&amp;creator=factset&amp;DYN_ARGS=TRUE&amp;DOC_NAME=FAT:FQL_AUDITING_CLIENT_TEMPLATE.FAT&amp;display_string=Audit&amp;VAR:KEY=CBIHMNINUB&amp;VAR:QUERY=RkZfREVCVF9MVChRVFIsNDA0MDMsNDA0MDMp&amp;WINDOW=FIRST_POPUP&amp;HEIGHT=450&amp;WIDTH=450&amp;START_MA","XIMIZED=FALSE&amp;VAR:CALENDAR=FIVEDAY&amp;VAR:SYMBOL=576947&amp;VAR:INDEX=0"}</definedName>
    <definedName name="_1503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04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05__FDSAUDITLINK__" hidden="1">{"fdsup://directions/FAT Viewer?action=UPDATE&amp;creator=factset&amp;DYN_ARGS=TRUE&amp;DOC_NAME=FAT:FQL_AUDITING_CLIENT_TEMPLATE.FAT&amp;display_string=Audit&amp;VAR:KEY=KXUDEPIBGF&amp;VAR:QUERY=RkZfREVCVF9MVChRVFIsNDAzOTYsNDAzOTYp&amp;WINDOW=FIRST_POPUP&amp;HEIGHT=450&amp;WIDTH=450&amp;START_MA","XIMIZED=FALSE&amp;VAR:CALENDAR=FIVEDAY&amp;VAR:SYMBOL=576947&amp;VAR:INDEX=0"}</definedName>
    <definedName name="_1506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07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08__FDSAUDITLINK__" hidden="1">{"fdsup://directions/FAT Viewer?action=UPDATE&amp;creator=factset&amp;DYN_ARGS=TRUE&amp;DOC_NAME=FAT:FQL_AUDITING_CLIENT_TEMPLATE.FAT&amp;display_string=Audit&amp;VAR:KEY=GXSHSJINMJ&amp;VAR:QUERY=RkZfREVCVF9MVChRVFIsNDAzODksNDAzODkp&amp;WINDOW=FIRST_POPUP&amp;HEIGHT=450&amp;WIDTH=450&amp;START_MA","XIMIZED=FALSE&amp;VAR:CALENDAR=FIVEDAY&amp;VAR:SYMBOL=576947&amp;VAR:INDEX=0"}</definedName>
    <definedName name="_1509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1__FDSAUDITLINK__" hidden="1">{"fdsup://IBCentral/FAT Viewer?action=UPDATE&amp;creator=factset&amp;DOC_NAME=fat:reuters_annual_pshs_src_window.fat&amp;display_string=Audit&amp;DYN_ARGS=TRUE&amp;VAR:ID1=03073E10&amp;VAR:RCODE=FDSEPS&amp;VAR:SDATE=20000999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10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11__FDSAUDITLINK__" hidden="1">{"fdsup://directions/FAT Viewer?action=UPDATE&amp;creator=factset&amp;DYN_ARGS=TRUE&amp;DOC_NAME=FAT:FQL_AUDITING_CLIENT_TEMPLATE.FAT&amp;display_string=Audit&amp;VAR:KEY=UJUNILQNIJ&amp;VAR:QUERY=RkZfREVCVF9MVChRVFIsNDAzODIsNDAzODIp&amp;WINDOW=FIRST_POPUP&amp;HEIGHT=450&amp;WIDTH=450&amp;START_MA","XIMIZED=FALSE&amp;VAR:CALENDAR=FIVEDAY&amp;VAR:SYMBOL=576947&amp;VAR:INDEX=0"}</definedName>
    <definedName name="_1512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13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14__FDSAUDITLINK__" hidden="1">{"fdsup://directions/FAT Viewer?action=UPDATE&amp;creator=factset&amp;DYN_ARGS=TRUE&amp;DOC_NAME=FAT:FQL_AUDITING_CLIENT_TEMPLATE.FAT&amp;display_string=Audit&amp;VAR:KEY=WTWVCLCRSH&amp;VAR:QUERY=RkZfREVCVF9MVChRVFIsNDAzNzUsNDAzNzUp&amp;WINDOW=FIRST_POPUP&amp;HEIGHT=450&amp;WIDTH=450&amp;START_MA","XIMIZED=FALSE&amp;VAR:CALENDAR=FIVEDAY&amp;VAR:SYMBOL=576947&amp;VAR:INDEX=0"}</definedName>
    <definedName name="_1515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16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17__FDSAUDITLINK__" hidden="1">{"fdsup://directions/FAT Viewer?action=UPDATE&amp;creator=factset&amp;DYN_ARGS=TRUE&amp;DOC_NAME=FAT:FQL_AUDITING_CLIENT_TEMPLATE.FAT&amp;display_string=Audit&amp;VAR:KEY=GDKPAJMNOH&amp;VAR:QUERY=RkZfREVCVF9MVChRVFIsNDAzNjgsNDAzNjgp&amp;WINDOW=FIRST_POPUP&amp;HEIGHT=450&amp;WIDTH=450&amp;START_MA","XIMIZED=FALSE&amp;VAR:CALENDAR=FIVEDAY&amp;VAR:SYMBOL=576947&amp;VAR:INDEX=0"}</definedName>
    <definedName name="_1518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19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2__FDSAUDITLINK__" hidden="1">{"fdsup://IBCentral/FAT Viewer?action=UPDATE&amp;creator=factset&amp;DOC_NAME=fat:reuters_annual_pshs_src_window.fat&amp;display_string=Audit&amp;DYN_ARGS=TRUE&amp;VAR:ID1=03073E10&amp;VAR:RCODE=FDSEPS&amp;VAR:SDATE=19990999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OZKPSTATMN&amp;VAR:QUERY=RkZfREVCVF9MVChRVFIsNDAzNjEsNDAzNjEp&amp;WINDOW=FIRST_POPUP&amp;HEIGHT=450&amp;WIDTH=450&amp;START_MA","XIMIZED=FALSE&amp;VAR:CALENDAR=FIVEDAY&amp;VAR:SYMBOL=576947&amp;VAR:INDEX=0"}</definedName>
    <definedName name="_1521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22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23__FDSAUDITLINK__" hidden="1">{"fdsup://directions/FAT Viewer?action=UPDATE&amp;creator=factset&amp;DYN_ARGS=TRUE&amp;DOC_NAME=FAT:FQL_AUDITING_CLIENT_TEMPLATE.FAT&amp;display_string=Audit&amp;VAR:KEY=ATGNURYBQD&amp;VAR:QUERY=RkZfREVCVF9MVChRVFIsNDAzNTQsNDAzNTQp&amp;WINDOW=FIRST_POPUP&amp;HEIGHT=450&amp;WIDTH=450&amp;START_MA","XIMIZED=FALSE&amp;VAR:CALENDAR=FIVEDAY&amp;VAR:SYMBOL=576947&amp;VAR:INDEX=0"}</definedName>
    <definedName name="_1524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25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26__FDSAUDITLINK__" hidden="1">{"fdsup://directions/FAT Viewer?action=UPDATE&amp;creator=factset&amp;DYN_ARGS=TRUE&amp;DOC_NAME=FAT:FQL_AUDITING_CLIENT_TEMPLATE.FAT&amp;display_string=Audit&amp;VAR:KEY=GFOZYVGJMV&amp;VAR:QUERY=RkZfREVCVF9MVChRVFIsNDAzNDcsNDAzNDcp&amp;WINDOW=FIRST_POPUP&amp;HEIGHT=450&amp;WIDTH=450&amp;START_MA","XIMIZED=FALSE&amp;VAR:CALENDAR=FIVEDAY&amp;VAR:SYMBOL=576947&amp;VAR:INDEX=0"}</definedName>
    <definedName name="_1527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28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29__FDSAUDITLINK__" hidden="1">{"fdsup://directions/FAT Viewer?action=UPDATE&amp;creator=factset&amp;DYN_ARGS=TRUE&amp;DOC_NAME=FAT:FQL_AUDITING_CLIENT_TEMPLATE.FAT&amp;display_string=Audit&amp;VAR:KEY=ADWZKHSXKP&amp;VAR:QUERY=RkZfREVCVF9MVChRVFIsNDAzNDAsNDAzNDAp&amp;WINDOW=FIRST_POPUP&amp;HEIGHT=450&amp;WIDTH=450&amp;START_MA","XIMIZED=FALSE&amp;VAR:CALENDAR=FIVEDAY&amp;VAR:SYMBOL=576947&amp;VAR:INDEX=0"}</definedName>
    <definedName name="_153__FDSAUDITLINK__" hidden="1">{"fdsup://IBCentral/FAT Viewer?action=UPDATE&amp;creator=factset&amp;DOC_NAME=fat:reuters_annual_pshs_src_window.fat&amp;display_string=Audit&amp;DYN_ARGS=TRUE&amp;VAR:ID1=14149Y10&amp;VAR:RCODE=FDSEPS&amp;VAR:SDATE=20080699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30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31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32__FDSAUDITLINK__" hidden="1">{"fdsup://directions/FAT Viewer?action=UPDATE&amp;creator=factset&amp;DYN_ARGS=TRUE&amp;DOC_NAME=FAT:FQL_AUDITING_CLIENT_TEMPLATE.FAT&amp;display_string=Audit&amp;VAR:KEY=WFSTSJEZYR&amp;VAR:QUERY=RkZfREVCVF9MVChRVFIsNDAzMzMsNDAzMzMp&amp;WINDOW=FIRST_POPUP&amp;HEIGHT=450&amp;WIDTH=450&amp;START_MA","XIMIZED=FALSE&amp;VAR:CALENDAR=FIVEDAY&amp;VAR:SYMBOL=576947&amp;VAR:INDEX=0"}</definedName>
    <definedName name="_1533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34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35__FDSAUDITLINK__" hidden="1">{"fdsup://directions/FAT Viewer?action=UPDATE&amp;creator=factset&amp;DYN_ARGS=TRUE&amp;DOC_NAME=FAT:FQL_AUDITING_CLIENT_TEMPLATE.FAT&amp;display_string=Audit&amp;VAR:KEY=KVMZSLAXUX&amp;VAR:QUERY=RkZfREVCVF9MVChRVFIsNDAzMjYsNDAzMjYp&amp;WINDOW=FIRST_POPUP&amp;HEIGHT=450&amp;WIDTH=450&amp;START_MA","XIMIZED=FALSE&amp;VAR:CALENDAR=FIVEDAY&amp;VAR:SYMBOL=576947&amp;VAR:INDEX=0"}</definedName>
    <definedName name="_1536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37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ILKJMHQDGB&amp;VAR:QUERY=RkZfREVCVF9MVChRVFIsNDAzMTksNDAzMTkp&amp;WINDOW=FIRST_POPUP&amp;HEIGHT=450&amp;WIDTH=450&amp;START_MA","XIMIZED=FALSE&amp;VAR:CALENDAR=FIVEDAY&amp;VAR:SYMBOL=576947&amp;VAR:INDEX=0"}</definedName>
    <definedName name="_1539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4__FDSAUDITLINK__" hidden="1">{"fdsup://IBCentral/FAT Viewer?action=UPDATE&amp;creator=factset&amp;DOC_NAME=fat:reuters_annual_pshs_src_window.fat&amp;display_string=Audit&amp;DYN_ARGS=TRUE&amp;VAR:ID1=14149Y10&amp;VAR:RCODE=FDSEPS&amp;VAR:SDATE=20070699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40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41__FDSAUDITLINK__" hidden="1">{"fdsup://directions/FAT Viewer?action=UPDATE&amp;creator=factset&amp;DYN_ARGS=TRUE&amp;DOC_NAME=FAT:FQL_AUDITING_CLIENT_TEMPLATE.FAT&amp;display_string=Audit&amp;VAR:KEY=KLEBQTKNOH&amp;VAR:QUERY=RkZfREVCVF9MVChRVFIsNDAzMTIsNDAzMTIp&amp;WINDOW=FIRST_POPUP&amp;HEIGHT=450&amp;WIDTH=450&amp;START_MA","XIMIZED=FALSE&amp;VAR:CALENDAR=FIVEDAY&amp;VAR:SYMBOL=576947&amp;VAR:INDEX=0"}</definedName>
    <definedName name="_1542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44__FDSAUDITLINK__" hidden="1">{"fdsup://directions/FAT Viewer?action=UPDATE&amp;creator=factset&amp;DYN_ARGS=TRUE&amp;DOC_NAME=FAT:FQL_AUDITING_CLIENT_TEMPLATE.FAT&amp;display_string=Audit&amp;VAR:KEY=MPERELGVQV&amp;VAR:QUERY=RkZfREVCVF9MVChRVFIsNDAzMDUsNDAzMDUp&amp;WINDOW=FIRST_POPUP&amp;HEIGHT=450&amp;WIDTH=450&amp;START_MA","XIMIZED=FALSE&amp;VAR:CALENDAR=FIVEDAY&amp;VAR:SYMBOL=576947&amp;VAR:INDEX=0"}</definedName>
    <definedName name="_1545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YVYHEPKRSH&amp;VAR:QUERY=RkZfREVCVF9MVChRVFIsNDAyOTgsNDAyOTgp&amp;WINDOW=FIRST_POPUP&amp;HEIGHT=450&amp;WIDTH=450&amp;START_MA","XIMIZED=FALSE&amp;VAR:CALENDAR=FIVEDAY&amp;VAR:SYMBOL=576947&amp;VAR:INDEX=0"}</definedName>
    <definedName name="_1548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49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5__FDSAUDITLINK__" hidden="1">{"fdsup://IBCentral/FAT Viewer?action=UPDATE&amp;creator=factset&amp;DOC_NAME=fat:reuters_annual_pshs_src_window.fat&amp;display_string=Audit&amp;DYN_ARGS=TRUE&amp;VAR:ID1=14149Y10&amp;VAR:RCODE=FDSEPS&amp;VAR:SDATE=20060699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QDIPGHGZAR&amp;VAR:QUERY=RkZfREVCVF9MVChRVFIsNDAyOTEsNDAyOTEp&amp;WINDOW=FIRST_POPUP&amp;HEIGHT=450&amp;WIDTH=450&amp;START_MA","XIMIZED=FALSE&amp;VAR:CALENDAR=FIVEDAY&amp;VAR:SYMBOL=576947&amp;VAR:INDEX=0"}</definedName>
    <definedName name="_1551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52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53__FDSAUDITLINK__" hidden="1">{"fdsup://directions/FAT Viewer?action=UPDATE&amp;creator=factset&amp;DYN_ARGS=TRUE&amp;DOC_NAME=FAT:FQL_AUDITING_CLIENT_TEMPLATE.FAT&amp;display_string=Audit&amp;VAR:KEY=OFOBIZGZQT&amp;VAR:QUERY=RkZfREVCVF9MVChRVFIsNDAyODQsNDAyODQp&amp;WINDOW=FIRST_POPUP&amp;HEIGHT=450&amp;WIDTH=450&amp;START_MA","XIMIZED=FALSE&amp;VAR:CALENDAR=FIVEDAY&amp;VAR:SYMBOL=576947&amp;VAR:INDEX=0"}</definedName>
    <definedName name="_1554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55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KPEHKXILSZ&amp;VAR:QUERY=RkZfREVCVF9MVChRVFIsNDAyNzcsNDAyNzcp&amp;WINDOW=FIRST_POPUP&amp;HEIGHT=450&amp;WIDTH=450&amp;START_MA","XIMIZED=FALSE&amp;VAR:CALENDAR=FIVEDAY&amp;VAR:SYMBOL=576947&amp;VAR:INDEX=0"}</definedName>
    <definedName name="_1557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58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59__FDSAUDITLINK__" hidden="1">{"fdsup://directions/FAT Viewer?action=UPDATE&amp;creator=factset&amp;DYN_ARGS=TRUE&amp;DOC_NAME=FAT:FQL_AUDITING_CLIENT_TEMPLATE.FAT&amp;display_string=Audit&amp;VAR:KEY=KDQPSXSNYV&amp;VAR:QUERY=RkZfREVCVF9MVChRVFIsNDAyNzAsNDAyNzAp&amp;WINDOW=FIRST_POPUP&amp;HEIGHT=450&amp;WIDTH=450&amp;START_MA","XIMIZED=FALSE&amp;VAR:CALENDAR=FIVEDAY&amp;VAR:SYMBOL=576947&amp;VAR:INDEX=0"}</definedName>
    <definedName name="_156__FDSAUDITLINK__" hidden="1">{"fdsup://IBCentral/FAT Viewer?action=UPDATE&amp;creator=factset&amp;DOC_NAME=fat:reuters_annual_pshs_src_window.fat&amp;display_string=Audit&amp;DYN_ARGS=TRUE&amp;VAR:ID1=14149Y10&amp;VAR:RCODE=FDSEPS&amp;VAR:SDATE=20050699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60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61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62__FDSAUDITLINK__" hidden="1">{"fdsup://directions/FAT Viewer?action=UPDATE&amp;creator=factset&amp;DYN_ARGS=TRUE&amp;DOC_NAME=FAT:FQL_AUDITING_CLIENT_TEMPLATE.FAT&amp;display_string=Audit&amp;VAR:KEY=ODWVKFALKF&amp;VAR:QUERY=RkZfREVCVF9MVChRVFIsNDAyNjMsNDAyNjMp&amp;WINDOW=FIRST_POPUP&amp;HEIGHT=450&amp;WIDTH=450&amp;START_MA","XIMIZED=FALSE&amp;VAR:CALENDAR=FIVEDAY&amp;VAR:SYMBOL=576947&amp;VAR:INDEX=0"}</definedName>
    <definedName name="_1563__FDSAUDITLINK__" hidden="1">{"fdsup://directions/FAT Viewer?action=UPDATE&amp;creator=factset&amp;DYN_ARGS=TRUE&amp;DOC_NAME=FAT:FQL_AUDITING_CLIENT_TEMPLATE.FAT&amp;display_string=Audit&amp;VAR:KEY=QLUVEZORGL&amp;VAR:QUERY=RkZfREVCVF9MVChRVFIsNDAyNTYsNDAyNTYp&amp;WINDOW=FIRST_POPUP&amp;HEIGHT=450&amp;WIDTH=450&amp;START_MA","XIMIZED=FALSE&amp;VAR:CALENDAR=FIVEDAY&amp;VAR:SYMBOL=576947&amp;VAR:INDEX=0"}</definedName>
    <definedName name="_1564__FDSAUDITLINK__" hidden="1">{"fdsup://directions/FAT Viewer?action=UPDATE&amp;creator=factset&amp;DYN_ARGS=TRUE&amp;DOC_NAME=FAT:FQL_AUDITING_CLIENT_TEMPLATE.FAT&amp;display_string=Audit&amp;VAR:KEY=WPSZMBQDUN&amp;VAR:QUERY=RkZfREVCVF9MVChRVFIsNDAyNDksNDAyNDkp&amp;WINDOW=FIRST_POPUP&amp;HEIGHT=450&amp;WIDTH=450&amp;START_MA","XIMIZED=FALSE&amp;VAR:CALENDAR=FIVEDAY&amp;VAR:SYMBOL=576947&amp;VAR:INDEX=0"}</definedName>
    <definedName name="_1565__FDSAUDITLINK__" hidden="1">{"fdsup://directions/FAT Viewer?action=UPDATE&amp;creator=factset&amp;DYN_ARGS=TRUE&amp;DOC_NAME=FAT:FQL_AUDITING_CLIENT_TEMPLATE.FAT&amp;display_string=Audit&amp;VAR:KEY=OFENWXUROR&amp;VAR:QUERY=RkZfREVCVF9MVChRVFIsNDAyNDIsNDAyNDIp&amp;WINDOW=FIRST_POPUP&amp;HEIGHT=450&amp;WIDTH=450&amp;START_MA","XIMIZED=FALSE&amp;VAR:CALENDAR=FIVEDAY&amp;VAR:SYMBOL=576947&amp;VAR:INDEX=0"}</definedName>
    <definedName name="_1566__FDSAUDITLINK__" hidden="1">{"fdsup://directions/FAT Viewer?action=UPDATE&amp;creator=factset&amp;DYN_ARGS=TRUE&amp;DOC_NAME=FAT:FQL_AUDITING_CLIENT_TEMPLATE.FAT&amp;display_string=Audit&amp;VAR:KEY=GDGNOLIPIP&amp;VAR:QUERY=RkZfREVCVF9MVChRVFIsNDAyMzUsNDAyMzUp&amp;WINDOW=FIRST_POPUP&amp;HEIGHT=450&amp;WIDTH=450&amp;START_MA","XIMIZED=FALSE&amp;VAR:CALENDAR=FIVEDAY&amp;VAR:SYMBOL=576947&amp;VAR:INDEX=0"}</definedName>
    <definedName name="_1567__FDSAUDITLINK__" hidden="1">{"fdsup://directions/FAT Viewer?action=UPDATE&amp;creator=factset&amp;DYN_ARGS=TRUE&amp;DOC_NAME=FAT:FQL_AUDITING_CLIENT_TEMPLATE.FAT&amp;display_string=Audit&amp;VAR:KEY=YJIHIPMHIH&amp;VAR:QUERY=RkZfREVCVF9MVChRVFIsNDAyMjgsNDAyMjgp&amp;WINDOW=FIRST_POPUP&amp;HEIGHT=450&amp;WIDTH=450&amp;START_MA","XIMIZED=FALSE&amp;VAR:CALENDAR=FIVEDAY&amp;VAR:SYMBOL=576947&amp;VAR:INDEX=0"}</definedName>
    <definedName name="_1568__FDSAUDITLINK__" hidden="1">{"fdsup://directions/FAT Viewer?action=UPDATE&amp;creator=factset&amp;DYN_ARGS=TRUE&amp;DOC_NAME=FAT:FQL_AUDITING_CLIENT_TEMPLATE.FAT&amp;display_string=Audit&amp;VAR:KEY=YBEZONCRYZ&amp;VAR:QUERY=RkZfREVCVF9MVChRVFIsNDAyMjEsNDAyMjEp&amp;WINDOW=FIRST_POPUP&amp;HEIGHT=450&amp;WIDTH=450&amp;START_MA","XIMIZED=FALSE&amp;VAR:CALENDAR=FIVEDAY&amp;VAR:SYMBOL=576947&amp;VAR:INDEX=0"}</definedName>
    <definedName name="_1569__FDSAUDITLINK__" hidden="1">{"fdsup://directions/FAT Viewer?action=UPDATE&amp;creator=factset&amp;DYN_ARGS=TRUE&amp;DOC_NAME=FAT:FQL_AUDITING_CLIENT_TEMPLATE.FAT&amp;display_string=Audit&amp;VAR:KEY=EDWXWBEFIH&amp;VAR:QUERY=RkZfREVCVF9MVChRVFIsNDAyMTQsNDAyMTQp&amp;WINDOW=FIRST_POPUP&amp;HEIGHT=450&amp;WIDTH=450&amp;START_MA","XIMIZED=FALSE&amp;VAR:CALENDAR=FIVEDAY&amp;VAR:SYMBOL=576947&amp;VAR:INDEX=0"}</definedName>
    <definedName name="_157__FDSAUDITLINK__" hidden="1">{"fdsup://IBCentral/FAT Viewer?action=UPDATE&amp;creator=factset&amp;DOC_NAME=fat:reuters_annual_pshs_src_window.fat&amp;display_string=Audit&amp;DYN_ARGS=TRUE&amp;VAR:ID1=14149Y10&amp;VAR:RCODE=FDSEPS&amp;VAR:SDATE=20040699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70__FDSAUDITLINK__" hidden="1">{"fdsup://directions/FAT Viewer?action=UPDATE&amp;creator=factset&amp;DYN_ARGS=TRUE&amp;DOC_NAME=FAT:FQL_AUDITING_CLIENT_TEMPLATE.FAT&amp;display_string=Audit&amp;VAR:KEY=CRONYVQNAZ&amp;VAR:QUERY=RkZfREVCVF9MVChRVFIsNDAyMDcsNDAyMDcp&amp;WINDOW=FIRST_POPUP&amp;HEIGHT=450&amp;WIDTH=450&amp;START_MA","XIMIZED=FALSE&amp;VAR:CALENDAR=FIVEDAY&amp;VAR:SYMBOL=576947&amp;VAR:INDEX=0"}</definedName>
    <definedName name="_1571__FDSAUDITLINK__" hidden="1">{"fdsup://directions/FAT Viewer?action=UPDATE&amp;creator=factset&amp;DYN_ARGS=TRUE&amp;DOC_NAME=FAT:FQL_AUDITING_CLIENT_TEMPLATE.FAT&amp;display_string=Audit&amp;VAR:KEY=UZUBIDMTSH&amp;VAR:QUERY=RkZfREVCVF9MVChRVFIsNDAyMDAsNDAyMDAp&amp;WINDOW=FIRST_POPUP&amp;HEIGHT=450&amp;WIDTH=450&amp;START_MA","XIMIZED=FALSE&amp;VAR:CALENDAR=FIVEDAY&amp;VAR:SYMBOL=576947&amp;VAR:INDEX=0"}</definedName>
    <definedName name="_1572__FDSAUDITLINK__" hidden="1">{"fdsup://directions/FAT Viewer?action=UPDATE&amp;creator=factset&amp;DYN_ARGS=TRUE&amp;DOC_NAME=FAT:FQL_AUDITING_CLIENT_TEMPLATE.FAT&amp;display_string=Audit&amp;VAR:KEY=WRSNKFCXOD&amp;VAR:QUERY=RkZfREVCVF9MVChRVFIsNDAxOTMsNDAxOTMp&amp;WINDOW=FIRST_POPUP&amp;HEIGHT=450&amp;WIDTH=450&amp;START_MA","XIMIZED=FALSE&amp;VAR:CALENDAR=FIVEDAY&amp;VAR:SYMBOL=576947&amp;VAR:INDEX=0"}</definedName>
    <definedName name="_1573__FDSAUDITLINK__" hidden="1">{"fdsup://directions/FAT Viewer?action=UPDATE&amp;creator=factset&amp;DYN_ARGS=TRUE&amp;DOC_NAME=FAT:FQL_AUDITING_CLIENT_TEMPLATE.FAT&amp;display_string=Audit&amp;VAR:KEY=QBOPGRIJOZ&amp;VAR:QUERY=RkZfREVCVF9MVChRVFIsNDAxODYsNDAxODYp&amp;WINDOW=FIRST_POPUP&amp;HEIGHT=450&amp;WIDTH=450&amp;START_MA","XIMIZED=FALSE&amp;VAR:CALENDAR=FIVEDAY&amp;VAR:SYMBOL=576947&amp;VAR:INDEX=0"}</definedName>
    <definedName name="_1574__FDSAUDITLINK__" hidden="1">{"fdsup://directions/FAT Viewer?action=UPDATE&amp;creator=factset&amp;DYN_ARGS=TRUE&amp;DOC_NAME=FAT:FQL_AUDITING_CLIENT_TEMPLATE.FAT&amp;display_string=Audit&amp;VAR:KEY=YRSNWZWDMB&amp;VAR:QUERY=RkZfREVCVF9MVChRVFIsNDAxNzksNDAxNzkp&amp;WINDOW=FIRST_POPUP&amp;HEIGHT=450&amp;WIDTH=450&amp;START_MA","XIMIZED=FALSE&amp;VAR:CALENDAR=FIVEDAY&amp;VAR:SYMBOL=576947&amp;VAR:INDEX=0"}</definedName>
    <definedName name="_1575__FDSAUDITLINK__" hidden="1">{"fdsup://directions/FAT Viewer?action=UPDATE&amp;creator=factset&amp;DYN_ARGS=TRUE&amp;DOC_NAME=FAT:FQL_AUDITING_CLIENT_TEMPLATE.FAT&amp;display_string=Audit&amp;VAR:KEY=YPINEZIJMN&amp;VAR:QUERY=RkZfREVCVF9MVChRVFIsNDAxNzIsNDAxNzIp&amp;WINDOW=FIRST_POPUP&amp;HEIGHT=450&amp;WIDTH=450&amp;START_MA","XIMIZED=FALSE&amp;VAR:CALENDAR=FIVEDAY&amp;VAR:SYMBOL=576947&amp;VAR:INDEX=0"}</definedName>
    <definedName name="_1576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77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78__FDSAUDITLINK__" hidden="1">{"fdsup://directions/FAT Viewer?action=UPDATE&amp;creator=factset&amp;DYN_ARGS=TRUE&amp;DOC_NAME=FAT:FQL_AUDITING_CLIENT_TEMPLATE.FAT&amp;display_string=Audit&amp;VAR:KEY=MVQBKLMBUP&amp;VAR:QUERY=RkZfREVCVF9MVChRVFIsNDAxNjUsNDAxNjUp&amp;WINDOW=FIRST_POPUP&amp;HEIGHT=450&amp;WIDTH=450&amp;START_MA","XIMIZED=FALSE&amp;VAR:CALENDAR=FIVEDAY&amp;VAR:SYMBOL=576947&amp;VAR:INDEX=0"}</definedName>
    <definedName name="_1579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8__FDSAUDITLINK__" hidden="1">{"fdsup://IBCentral/FAT Viewer?action=UPDATE&amp;creator=factset&amp;DOC_NAME=fat:reuters_annual_pshs_src_window.fat&amp;display_string=Audit&amp;DYN_ARGS=TRUE&amp;VAR:ID1=14149Y10&amp;VAR:RCODE=FDSEPS&amp;VAR:SDATE=20030699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80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81__FDSAUDITLINK__" hidden="1">{"fdsup://directions/FAT Viewer?action=UPDATE&amp;creator=factset&amp;DYN_ARGS=TRUE&amp;DOC_NAME=FAT:FQL_AUDITING_CLIENT_TEMPLATE.FAT&amp;display_string=Audit&amp;VAR:KEY=CZGDWZAPUL&amp;VAR:QUERY=RkZfREVCVF9MVChRVFIsNDAxNTgsNDAxNTgp&amp;WINDOW=FIRST_POPUP&amp;HEIGHT=450&amp;WIDTH=450&amp;START_MA","XIMIZED=FALSE&amp;VAR:CALENDAR=FIVEDAY&amp;VAR:SYMBOL=576947&amp;VAR:INDEX=0"}</definedName>
    <definedName name="_1582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83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84__FDSAUDITLINK__" hidden="1">{"fdsup://directions/FAT Viewer?action=UPDATE&amp;creator=factset&amp;DYN_ARGS=TRUE&amp;DOC_NAME=FAT:FQL_AUDITING_CLIENT_TEMPLATE.FAT&amp;display_string=Audit&amp;VAR:KEY=ODEXUPONMX&amp;VAR:QUERY=RkZfREVCVF9MVChRVFIsNDAxNTEsNDAxNTEp&amp;WINDOW=FIRST_POPUP&amp;HEIGHT=450&amp;WIDTH=450&amp;START_MA","XIMIZED=FALSE&amp;VAR:CALENDAR=FIVEDAY&amp;VAR:SYMBOL=576947&amp;VAR:INDEX=0"}</definedName>
    <definedName name="_1585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YDAPUDQZAP&amp;VAR:QUERY=RkZfREVCVF9MVChRVFIsNDAxNDQsNDAxNDQp&amp;WINDOW=FIRST_POPUP&amp;HEIGHT=450&amp;WIDTH=450&amp;START_MA","XIMIZED=FALSE&amp;VAR:CALENDAR=FIVEDAY&amp;VAR:SYMBOL=576947&amp;VAR:INDEX=0"}</definedName>
    <definedName name="_1588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89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9__FDSAUDITLINK__" hidden="1">{"fdsup://IBCentral/FAT Viewer?action=UPDATE&amp;creator=factset&amp;DOC_NAME=fat:reuters_annual_pshs_src_window.fat&amp;display_string=Audit&amp;DYN_ARGS=TRUE&amp;VAR:ID1=14149Y10&amp;VAR:RCODE=FDSEPS&amp;VAR:SDATE=20020699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KVWDYTYRMN&amp;VAR:QUERY=RkZfREVCVF9MVChRVFIsNDAxMzcsNDAxMzcp&amp;WINDOW=FIRST_POPUP&amp;HEIGHT=450&amp;WIDTH=450&amp;START_MA","XIMIZED=FALSE&amp;VAR:CALENDAR=FIVEDAY&amp;VAR:SYMBOL=576947&amp;VAR:INDEX=0"}</definedName>
    <definedName name="_1591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92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93__FDSAUDITLINK__" hidden="1">{"fdsup://directions/FAT Viewer?action=UPDATE&amp;creator=factset&amp;DYN_ARGS=TRUE&amp;DOC_NAME=FAT:FQL_AUDITING_CLIENT_TEMPLATE.FAT&amp;display_string=Audit&amp;VAR:KEY=QVABIBCTUF&amp;VAR:QUERY=RkZfREVCVF9MVChRVFIsNDAxMzAsNDAxMzAp&amp;WINDOW=FIRST_POPUP&amp;HEIGHT=450&amp;WIDTH=450&amp;START_MA","XIMIZED=FALSE&amp;VAR:CALENDAR=FIVEDAY&amp;VAR:SYMBOL=576947&amp;VAR:INDEX=0"}</definedName>
    <definedName name="_1594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95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96__FDSAUDITLINK__" hidden="1">{"fdsup://directions/FAT Viewer?action=UPDATE&amp;creator=factset&amp;DYN_ARGS=TRUE&amp;DOC_NAME=FAT:FQL_AUDITING_CLIENT_TEMPLATE.FAT&amp;display_string=Audit&amp;VAR:KEY=IPWLKNGLSV&amp;VAR:QUERY=RkZfREVCVF9MVChRVFIsNDAxMjMsNDAxMjMp&amp;WINDOW=FIRST_POPUP&amp;HEIGHT=450&amp;WIDTH=450&amp;START_MA","XIMIZED=FALSE&amp;VAR:CALENDAR=FIVEDAY&amp;VAR:SYMBOL=576947&amp;VAR:INDEX=0"}</definedName>
    <definedName name="_1597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99__FDSAUDITLINK__" hidden="1">{"fdsup://directions/FAT Viewer?action=UPDATE&amp;creator=factset&amp;DYN_ARGS=TRUE&amp;DOC_NAME=FAT:FQL_AUDITING_CLIENT_TEMPLATE.FAT&amp;display_string=Audit&amp;VAR:KEY=VEZULIBGHQ&amp;VAR:QUERY=RkZfREVCVF9MVChRVFIsMzg4MTQsMzg4MTQp&amp;WINDOW=FIRST_POPUP&amp;HEIGHT=450&amp;WIDTH=450&amp;START_MA","XIMIZED=FALSE&amp;VAR:CALENDAR=FIVEDAY&amp;VAR:SYMBOL=455710&amp;VAR:INDEX=0"}</definedName>
    <definedName name="_16__FDSAUDITLINK__" hidden="1">{"fdsup://directions/FAT Viewer?action=UPDATE&amp;creator=factset&amp;DYN_ARGS=TRUE&amp;DOC_NAME=FAT:FQL_AUDITING_CLIENT_TEMPLATE.FAT&amp;display_string=Audit&amp;VAR:KEY=UFWRGXIFYJ&amp;VAR:QUERY=RkZfRVBTX0RJTChBTk4sMjAxMSk=&amp;WINDOW=FIRST_POPUP&amp;HEIGHT=450&amp;WIDTH=450&amp;START_MAXIMIZED=","FALSE&amp;VAR:CALENDAR=FIVEDAY&amp;VAR:SYMBOL=B11Y56&amp;VAR:INDEX=0"}</definedName>
    <definedName name="_160__FDSAUDITLINK__" hidden="1">{"fdsup://IBCentral/FAT Viewer?action=UPDATE&amp;creator=factset&amp;DOC_NAME=fat:reuters_annual_pshs_src_window.fat&amp;display_string=Audit&amp;DYN_ARGS=TRUE&amp;VAR:ID1=14149Y10&amp;VAR:RCODE=FDSEPS&amp;VAR:SDATE=20010699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00__FDSAUDITLINK__" hidden="1">{"fdsup://directions/FAT Viewer?action=UPDATE&amp;creator=factset&amp;DYN_ARGS=TRUE&amp;DOC_NAME=FAT:FQL_AUDITING_CLIENT_TEMPLATE.FAT&amp;display_string=Audit&amp;VAR:KEY=JCFUVYVABO&amp;VAR:QUERY=RkZfREVCVF9MVChRVFIsMzg4MjEsMzg4MjEp&amp;WINDOW=FIRST_POPUP&amp;HEIGHT=450&amp;WIDTH=450&amp;START_MA","XIMIZED=FALSE&amp;VAR:CALENDAR=FIVEDAY&amp;VAR:SYMBOL=455710&amp;VAR:INDEX=0"}</definedName>
    <definedName name="_1601__FDSAUDITLINK__" hidden="1">{"fdsup://directions/FAT Viewer?action=UPDATE&amp;creator=factset&amp;DYN_ARGS=TRUE&amp;DOC_NAME=FAT:FQL_AUDITING_CLIENT_TEMPLATE.FAT&amp;display_string=Audit&amp;VAR:KEY=POPKNWVQTO&amp;VAR:QUERY=RkZfREVCVF9MVChRVFIsMzg4MjgsMzg4Mjgp&amp;WINDOW=FIRST_POPUP&amp;HEIGHT=450&amp;WIDTH=450&amp;START_MA","XIMIZED=FALSE&amp;VAR:CALENDAR=FIVEDAY&amp;VAR:SYMBOL=455710&amp;VAR:INDEX=0"}</definedName>
    <definedName name="_1602__FDSAUDITLINK__" hidden="1">{"fdsup://directions/FAT Viewer?action=UPDATE&amp;creator=factset&amp;DYN_ARGS=TRUE&amp;DOC_NAME=FAT:FQL_AUDITING_CLIENT_TEMPLATE.FAT&amp;display_string=Audit&amp;VAR:KEY=PAZQVCDSRA&amp;VAR:QUERY=RkZfREVCVF9MVChRVFIsMzg5MDUsMzg5MDUp&amp;WINDOW=FIRST_POPUP&amp;HEIGHT=450&amp;WIDTH=450&amp;START_MA","XIMIZED=FALSE&amp;VAR:CALENDAR=FIVEDAY&amp;VAR:SYMBOL=455710&amp;VAR:INDEX=0"}</definedName>
    <definedName name="_1603__FDSAUDITLINK__" hidden="1">{"fdsup://directions/FAT Viewer?action=UPDATE&amp;creator=factset&amp;DYN_ARGS=TRUE&amp;DOC_NAME=FAT:FQL_AUDITING_CLIENT_TEMPLATE.FAT&amp;display_string=Audit&amp;VAR:KEY=RWLIVKLMNI&amp;VAR:QUERY=RkZfREVCVF9MVChRVFIsMzg5MTIsMzg5MTIp&amp;WINDOW=FIRST_POPUP&amp;HEIGHT=450&amp;WIDTH=450&amp;START_MA","XIMIZED=FALSE&amp;VAR:CALENDAR=FIVEDAY&amp;VAR:SYMBOL=455710&amp;VAR:INDEX=0"}</definedName>
    <definedName name="_1604__FDSAUDITLINK__" hidden="1">{"fdsup://directions/FAT Viewer?action=UPDATE&amp;creator=factset&amp;DYN_ARGS=TRUE&amp;DOC_NAME=FAT:FQL_AUDITING_CLIENT_TEMPLATE.FAT&amp;display_string=Audit&amp;VAR:KEY=NAPCJAJYNW&amp;VAR:QUERY=RkZfREVCVF9MVChRVFIsMzg5MTksMzg5MTkp&amp;WINDOW=FIRST_POPUP&amp;HEIGHT=450&amp;WIDTH=450&amp;START_MA","XIMIZED=FALSE&amp;VAR:CALENDAR=FIVEDAY&amp;VAR:SYMBOL=455710&amp;VAR:INDEX=0"}</definedName>
    <definedName name="_1605__FDSAUDITLINK__" hidden="1">{"fdsup://directions/FAT Viewer?action=UPDATE&amp;creator=factset&amp;DYN_ARGS=TRUE&amp;DOC_NAME=FAT:FQL_AUDITING_CLIENT_TEMPLATE.FAT&amp;display_string=Audit&amp;VAR:KEY=VKFOZMTUJU&amp;VAR:QUERY=RkZfREVCVF9MVChRVFIsMzg5OTYsMzg5OTYp&amp;WINDOW=FIRST_POPUP&amp;HEIGHT=450&amp;WIDTH=450&amp;START_MA","XIMIZED=FALSE&amp;VAR:CALENDAR=FIVEDAY&amp;VAR:SYMBOL=455710&amp;VAR:INDEX=0"}</definedName>
    <definedName name="_1606__FDSAUDITLINK__" hidden="1">{"fdsup://directions/FAT Viewer?action=UPDATE&amp;creator=factset&amp;DYN_ARGS=TRUE&amp;DOC_NAME=FAT:FQL_AUDITING_CLIENT_TEMPLATE.FAT&amp;display_string=Audit&amp;VAR:KEY=JWVQXINSLI&amp;VAR:QUERY=RkZfREVCVF9MVChRVFIsMzkwMDMsMzkwMDMp&amp;WINDOW=FIRST_POPUP&amp;HEIGHT=450&amp;WIDTH=450&amp;START_MA","XIMIZED=FALSE&amp;VAR:CALENDAR=FIVEDAY&amp;VAR:SYMBOL=455710&amp;VAR:INDEX=0"}</definedName>
    <definedName name="_1607__FDSAUDITLINK__" hidden="1">{"fdsup://directions/FAT Viewer?action=UPDATE&amp;creator=factset&amp;DYN_ARGS=TRUE&amp;DOC_NAME=FAT:FQL_AUDITING_CLIENT_TEMPLATE.FAT&amp;display_string=Audit&amp;VAR:KEY=RULQXIFMVU&amp;VAR:QUERY=RkZfREVCVF9MVChRVFIsMzkwMTAsMzkwMTAp&amp;WINDOW=FIRST_POPUP&amp;HEIGHT=450&amp;WIDTH=450&amp;START_MA","XIMIZED=FALSE&amp;VAR:CALENDAR=FIVEDAY&amp;VAR:SYMBOL=455710&amp;VAR:INDEX=0"}</definedName>
    <definedName name="_1608__FDSAUDITLINK__" hidden="1">{"fdsup://directions/FAT Viewer?action=UPDATE&amp;creator=factset&amp;DYN_ARGS=TRUE&amp;DOC_NAME=FAT:FQL_AUDITING_CLIENT_TEMPLATE.FAT&amp;display_string=Audit&amp;VAR:KEY=PKTIZONWFK&amp;VAR:QUERY=RkZfREVCVF9MVChRVFIsMzkwODcsMzkwODcp&amp;WINDOW=FIRST_POPUP&amp;HEIGHT=450&amp;WIDTH=450&amp;START_MA","XIMIZED=FALSE&amp;VAR:CALENDAR=FIVEDAY&amp;VAR:SYMBOL=455710&amp;VAR:INDEX=0"}</definedName>
    <definedName name="_1609__FDSAUDITLINK__" hidden="1">{"fdsup://directions/FAT Viewer?action=UPDATE&amp;creator=factset&amp;DYN_ARGS=TRUE&amp;DOC_NAME=FAT:FQL_AUDITING_CLIENT_TEMPLATE.FAT&amp;display_string=Audit&amp;VAR:KEY=FATMJUVKRI&amp;VAR:QUERY=RkZfREVCVF9MVChRVFIsMzkwOTQsMzkwOTQp&amp;WINDOW=FIRST_POPUP&amp;HEIGHT=450&amp;WIDTH=450&amp;START_MA","XIMIZED=FALSE&amp;VAR:CALENDAR=FIVEDAY&amp;VAR:SYMBOL=455710&amp;VAR:INDEX=0"}</definedName>
    <definedName name="_161__FDSAUDITLINK__" hidden="1">{"fdsup://IBCentral/FAT Viewer?action=UPDATE&amp;creator=factset&amp;DOC_NAME=fat:reuters_annual_pshs_src_window.fat&amp;display_string=Audit&amp;DYN_ARGS=TRUE&amp;VAR:ID1=14149Y10&amp;VAR:RCODE=FDSEPS&amp;VAR:SDATE=20000699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RGNEVONKDS&amp;VAR:QUERY=RkZfREVCVF9MVChRVFIsMzkxMDEsMzkxMDEp&amp;WINDOW=FIRST_POPUP&amp;HEIGHT=450&amp;WIDTH=450&amp;START_MA","XIMIZED=FALSE&amp;VAR:CALENDAR=FIVEDAY&amp;VAR:SYMBOL=455710&amp;VAR:INDEX=0"}</definedName>
    <definedName name="_1611__FDSAUDITLINK__" hidden="1">{"fdsup://Directions/FactSet Auditing Viewer?action=AUDIT_VALUE&amp;DB=129&amp;ID1=455710&amp;VALUEID=03051&amp;SDATE=200701&amp;PERIODTYPE=QTR_STD&amp;window=popup_no_bar&amp;width=385&amp;height=120&amp;START_MAXIMIZED=FALSE&amp;creator=factset&amp;display_string=Audit"}</definedName>
    <definedName name="_1612__FDSAUDITLINK__" hidden="1">{"fdsup://directions/FAT Viewer?action=UPDATE&amp;creator=factset&amp;DYN_ARGS=TRUE&amp;DOC_NAME=FAT:FQL_AUDITING_CLIENT_TEMPLATE.FAT&amp;display_string=Audit&amp;VAR:KEY=TSLUHKPQXI&amp;VAR:QUERY=RkZfREVCVF9MVChRVFIsMzkxNzgsMzkxNzgp&amp;WINDOW=FIRST_POPUP&amp;HEIGHT=450&amp;WIDTH=450&amp;START_MA","XIMIZED=FALSE&amp;VAR:CALENDAR=FIVEDAY&amp;VAR:SYMBOL=455710&amp;VAR:INDEX=0"}</definedName>
    <definedName name="_1613__FDSAUDITLINK__" hidden="1">{"fdsup://Directions/FactSet Auditing Viewer?action=AUDIT_VALUE&amp;DB=129&amp;ID1=455710&amp;VALUEID=03051&amp;SDATE=200701&amp;PERIODTYPE=QTR_STD&amp;window=popup_no_bar&amp;width=385&amp;height=120&amp;START_MAXIMIZED=FALSE&amp;creator=factset&amp;display_string=Audit"}</definedName>
    <definedName name="_1614__FDSAUDITLINK__" hidden="1">{"fdsup://directions/FAT Viewer?action=UPDATE&amp;creator=factset&amp;DYN_ARGS=TRUE&amp;DOC_NAME=FAT:FQL_AUDITING_CLIENT_TEMPLATE.FAT&amp;display_string=Audit&amp;VAR:KEY=TIVKFOZWNS&amp;VAR:QUERY=RkZfREVCVF9MVChRVFIsMzkxODUsMzkxODUp&amp;WINDOW=FIRST_POPUP&amp;HEIGHT=450&amp;WIDTH=450&amp;START_MA","XIMIZED=FALSE&amp;VAR:CALENDAR=FIVEDAY&amp;VAR:SYMBOL=455710&amp;VAR:INDEX=0"}</definedName>
    <definedName name="_1615__FDSAUDITLINK__" hidden="1">{"fdsup://Directions/FactSet Auditing Viewer?action=AUDIT_VALUE&amp;DB=129&amp;ID1=455710&amp;VALUEID=03051&amp;SDATE=200701&amp;PERIODTYPE=QTR_STD&amp;window=popup_no_bar&amp;width=385&amp;height=120&amp;START_MAXIMIZED=FALSE&amp;creator=factset&amp;display_string=Audit"}</definedName>
    <definedName name="_1616__FDSAUDITLINK__" hidden="1">{"fdsup://directions/FAT Viewer?action=UPDATE&amp;creator=factset&amp;DYN_ARGS=TRUE&amp;DOC_NAME=FAT:FQL_AUDITING_CLIENT_TEMPLATE.FAT&amp;display_string=Audit&amp;VAR:KEY=ZEJSRIPIDO&amp;VAR:QUERY=RkZfREVCVF9MVChRVFIsMzkxOTIsMzkxOTIp&amp;WINDOW=FIRST_POPUP&amp;HEIGHT=450&amp;WIDTH=450&amp;START_MA","XIMIZED=FALSE&amp;VAR:CALENDAR=FIVEDAY&amp;VAR:SYMBOL=455710&amp;VAR:INDEX=0"}</definedName>
    <definedName name="_1617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1618__FDSAUDITLINK__" hidden="1">{"fdsup://directions/FAT Viewer?action=UPDATE&amp;creator=factset&amp;DYN_ARGS=TRUE&amp;DOC_NAME=FAT:FQL_AUDITING_CLIENT_TEMPLATE.FAT&amp;display_string=Audit&amp;VAR:KEY=HKNWVOFGTY&amp;VAR:QUERY=RkZfREVCVF9MVChRVFIsMzkyNjksMzkyNjkp&amp;WINDOW=FIRST_POPUP&amp;HEIGHT=450&amp;WIDTH=450&amp;START_MA","XIMIZED=FALSE&amp;VAR:CALENDAR=FIVEDAY&amp;VAR:SYMBOL=455710&amp;VAR:INDEX=0"}</definedName>
    <definedName name="_1619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162__FDSAUDITLINK__" hidden="1">{"fdsup://IBCentral/FAT Viewer?action=UPDATE&amp;creator=factset&amp;DOC_NAME=fat:reuters_annual_pshs_src_window.fat&amp;display_string=Audit&amp;DYN_ARGS=TRUE&amp;VAR:ID1=14149Y10&amp;VAR:RCODE=FDSEPS&amp;VAR:SDATE=19990699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VWZUJWTGVO&amp;VAR:QUERY=RkZfREVCVF9MVChRVFIsMzkyNzYsMzkyNzYp&amp;WINDOW=FIRST_POPUP&amp;HEIGHT=450&amp;WIDTH=450&amp;START_MA","XIMIZED=FALSE&amp;VAR:CALENDAR=FIVEDAY&amp;VAR:SYMBOL=455710&amp;VAR:INDEX=0"}</definedName>
    <definedName name="_1621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1622__FDSAUDITLINK__" hidden="1">{"fdsup://directions/FAT Viewer?action=UPDATE&amp;creator=factset&amp;DYN_ARGS=TRUE&amp;DOC_NAME=FAT:FQL_AUDITING_CLIENT_TEMPLATE.FAT&amp;display_string=Audit&amp;VAR:KEY=VSNWVMTOFE&amp;VAR:QUERY=RkZfREVCVF9MVChRVFIsMzkyODMsMzkyODMp&amp;WINDOW=FIRST_POPUP&amp;HEIGHT=450&amp;WIDTH=450&amp;START_MA","XIMIZED=FALSE&amp;VAR:CALENDAR=FIVEDAY&amp;VAR:SYMBOL=455710&amp;VAR:INDEX=0"}</definedName>
    <definedName name="_1623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1624__FDSAUDITLINK__" hidden="1">{"fdsup://directions/FAT Viewer?action=UPDATE&amp;creator=factset&amp;DYN_ARGS=TRUE&amp;DOC_NAME=FAT:FQL_AUDITING_CLIENT_TEMPLATE.FAT&amp;display_string=Audit&amp;VAR:KEY=LGNILYBOJS&amp;VAR:QUERY=RkZfREVCVF9MVChRVFIsMzkzNjAsMzkzNjAp&amp;WINDOW=FIRST_POPUP&amp;HEIGHT=450&amp;WIDTH=450&amp;START_MA","XIMIZED=FALSE&amp;VAR:CALENDAR=FIVEDAY&amp;VAR:SYMBOL=455710&amp;VAR:INDEX=0"}</definedName>
    <definedName name="_1625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1626__FDSAUDITLINK__" hidden="1">{"fdsup://directions/FAT Viewer?action=UPDATE&amp;creator=factset&amp;DYN_ARGS=TRUE&amp;DOC_NAME=FAT:FQL_AUDITING_CLIENT_TEMPLATE.FAT&amp;display_string=Audit&amp;VAR:KEY=XCXYZUVWBU&amp;VAR:QUERY=RkZfREVCVF9MVChRVFIsMzkzNjcsMzkzNjcp&amp;WINDOW=FIRST_POPUP&amp;HEIGHT=450&amp;WIDTH=450&amp;START_MA","XIMIZED=FALSE&amp;VAR:CALENDAR=FIVEDAY&amp;VAR:SYMBOL=455710&amp;VAR:INDEX=0"}</definedName>
    <definedName name="_1627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1628__FDSAUDITLINK__" hidden="1">{"fdsup://directions/FAT Viewer?action=UPDATE&amp;creator=factset&amp;DYN_ARGS=TRUE&amp;DOC_NAME=FAT:FQL_AUDITING_CLIENT_TEMPLATE.FAT&amp;display_string=Audit&amp;VAR:KEY=ZYFWTGXSNE&amp;VAR:QUERY=RkZfREVCVF9MVChRVFIsMzkzNzQsMzkzNzQp&amp;WINDOW=FIRST_POPUP&amp;HEIGHT=450&amp;WIDTH=450&amp;START_MA","XIMIZED=FALSE&amp;VAR:CALENDAR=FIVEDAY&amp;VAR:SYMBOL=455710&amp;VAR:INDEX=0"}</definedName>
    <definedName name="_1629__FDSAUDITLINK__" hidden="1">{"fdsup://Directions/FactSet Auditing Viewer?action=AUDIT_VALUE&amp;DB=129&amp;ID1=455710&amp;VALUEID=03051&amp;SDATE=200801&amp;PERIODTYPE=QTR_STD&amp;window=popup_no_bar&amp;width=385&amp;height=120&amp;START_MAXIMIZED=FALSE&amp;creator=factset&amp;display_string=Audit"}</definedName>
    <definedName name="_163__FDSAUDITLINK__" hidden="1">{"fdsup://IBCentral/FAT Viewer?action=UPDATE&amp;creator=factset&amp;DOC_NAME=fat:reuters_annual_pshs_src_window.fat&amp;display_string=Audit&amp;DYN_ARGS=TRUE&amp;VAR:ID1=58155Q10&amp;VAR:RCODE=FDSEPS&amp;VAR:SDATE=20090399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FYTWNURWPS&amp;VAR:QUERY=RkZfREVCVF9MVChRVFIsMzk1NDIsMzk1NDIp&amp;WINDOW=FIRST_POPUP&amp;HEIGHT=450&amp;WIDTH=450&amp;START_MA","XIMIZED=FALSE&amp;VAR:CALENDAR=FIVEDAY&amp;VAR:SYMBOL=455710&amp;VAR:INDEX=0"}</definedName>
    <definedName name="_1631__FDSAUDITLINK__" hidden="1">{"fdsup://Directions/FactSet Auditing Viewer?action=AUDIT_VALUE&amp;DB=129&amp;ID1=455710&amp;VALUEID=03051&amp;SDATE=200801&amp;PERIODTYPE=QTR_STD&amp;window=popup_no_bar&amp;width=385&amp;height=120&amp;START_MAXIMIZED=FALSE&amp;creator=factset&amp;display_string=Audit"}</definedName>
    <definedName name="_1632__FDSAUDITLINK__" hidden="1">{"fdsup://directions/FAT Viewer?action=UPDATE&amp;creator=factset&amp;DYN_ARGS=TRUE&amp;DOC_NAME=FAT:FQL_AUDITING_CLIENT_TEMPLATE.FAT&amp;display_string=Audit&amp;VAR:KEY=NENWBSBWLO&amp;VAR:QUERY=RkZfREVCVF9MVChRVFIsMzk1NDksMzk1NDkp&amp;WINDOW=FIRST_POPUP&amp;HEIGHT=450&amp;WIDTH=450&amp;START_MA","XIMIZED=FALSE&amp;VAR:CALENDAR=FIVEDAY&amp;VAR:SYMBOL=455710&amp;VAR:INDEX=0"}</definedName>
    <definedName name="_1633__FDSAUDITLINK__" hidden="1">{"fdsup://Directions/FactSet Auditing Viewer?action=AUDIT_VALUE&amp;DB=129&amp;ID1=455710&amp;VALUEID=03051&amp;SDATE=200801&amp;PERIODTYPE=QTR_STD&amp;window=popup_no_bar&amp;width=385&amp;height=120&amp;START_MAXIMIZED=FALSE&amp;creator=factset&amp;display_string=Audit"}</definedName>
    <definedName name="_1634__FDSAUDITLINK__" hidden="1">{"fdsup://directions/FAT Viewer?action=UPDATE&amp;creator=factset&amp;DYN_ARGS=TRUE&amp;DOC_NAME=FAT:FQL_AUDITING_CLIENT_TEMPLATE.FAT&amp;display_string=Audit&amp;VAR:KEY=DSHUBCVWHO&amp;VAR:QUERY=RkZfREVCVF9MVChRVFIsMzk1NTYsMzk1NTYp&amp;WINDOW=FIRST_POPUP&amp;HEIGHT=450&amp;WIDTH=450&amp;START_MA","XIMIZED=FALSE&amp;VAR:CALENDAR=FIVEDAY&amp;VAR:SYMBOL=455710&amp;VAR:INDEX=0"}</definedName>
    <definedName name="_1635__FDSAUDITLINK__" hidden="1">{"fdsup://Directions/FactSet Auditing Viewer?action=AUDIT_VALUE&amp;DB=129&amp;ID1=455710&amp;VALUEID=03051&amp;SDATE=200802&amp;PERIODTYPE=QTR_STD&amp;window=popup_no_bar&amp;width=385&amp;height=120&amp;START_MAXIMIZED=FALSE&amp;creator=factset&amp;display_string=Audit"}</definedName>
    <definedName name="_1636__FDSAUDITLINK__" hidden="1">{"fdsup://directions/FAT Viewer?action=UPDATE&amp;creator=factset&amp;DYN_ARGS=TRUE&amp;DOC_NAME=FAT:FQL_AUDITING_CLIENT_TEMPLATE.FAT&amp;display_string=Audit&amp;VAR:KEY=REXGJOJYRW&amp;VAR:QUERY=RkZfREVCVF9MVChRVFIsMzk2MzMsMzk2MzMp&amp;WINDOW=FIRST_POPUP&amp;HEIGHT=450&amp;WIDTH=450&amp;START_MA","XIMIZED=FALSE&amp;VAR:CALENDAR=FIVEDAY&amp;VAR:SYMBOL=455710&amp;VAR:INDEX=0"}</definedName>
    <definedName name="_1637__FDSAUDITLINK__" hidden="1">{"fdsup://Directions/FactSet Auditing Viewer?action=AUDIT_VALUE&amp;DB=129&amp;ID1=455710&amp;VALUEID=03051&amp;SDATE=200802&amp;PERIODTYPE=QTR_STD&amp;window=popup_no_bar&amp;width=385&amp;height=120&amp;START_MAXIMIZED=FALSE&amp;creator=factset&amp;display_string=Audit"}</definedName>
    <definedName name="_1638__FDSAUDITLINK__" hidden="1">{"fdsup://directions/FAT Viewer?action=UPDATE&amp;creator=factset&amp;DYN_ARGS=TRUE&amp;DOC_NAME=FAT:FQL_AUDITING_CLIENT_TEMPLATE.FAT&amp;display_string=Audit&amp;VAR:KEY=XSDKTCXAFY&amp;VAR:QUERY=RkZfREVCVF9MVChRVFIsMzk2NDAsMzk2NDAp&amp;WINDOW=FIRST_POPUP&amp;HEIGHT=450&amp;WIDTH=450&amp;START_MA","XIMIZED=FALSE&amp;VAR:CALENDAR=FIVEDAY&amp;VAR:SYMBOL=455710&amp;VAR:INDEX=0"}</definedName>
    <definedName name="_1639__FDSAUDITLINK__" hidden="1">{"fdsup://Directions/FactSet Auditing Viewer?action=AUDIT_VALUE&amp;DB=129&amp;ID1=455710&amp;VALUEID=03051&amp;SDATE=200802&amp;PERIODTYPE=QTR_STD&amp;window=popup_no_bar&amp;width=385&amp;height=120&amp;START_MAXIMIZED=FALSE&amp;creator=factset&amp;display_string=Audit"}</definedName>
    <definedName name="_164__FDSAUDITLINK__" hidden="1">{"fdsup://IBCentral/FAT Viewer?action=UPDATE&amp;creator=factset&amp;DOC_NAME=fat:reuters_annual_pshs_src_window.fat&amp;display_string=Audit&amp;DYN_ARGS=TRUE&amp;VAR:ID1=58155Q10&amp;VAR:RCODE=FDSEPS&amp;VAR:SDATE=20080399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40__FDSAUDITLINK__" hidden="1">{"fdsup://directions/FAT Viewer?action=UPDATE&amp;creator=factset&amp;DYN_ARGS=TRUE&amp;DOC_NAME=FAT:FQL_AUDITING_CLIENT_TEMPLATE.FAT&amp;display_string=Audit&amp;VAR:KEY=RSZGNYLYNE&amp;VAR:QUERY=RkZfREVCVF9MVChRVFIsMzk2NDcsMzk2NDcp&amp;WINDOW=FIRST_POPUP&amp;HEIGHT=450&amp;WIDTH=450&amp;START_MA","XIMIZED=FALSE&amp;VAR:CALENDAR=FIVEDAY&amp;VAR:SYMBOL=455710&amp;VAR:INDEX=0"}</definedName>
    <definedName name="_1641__FDSAUDITLINK__" hidden="1">{"fdsup://directions/FAT Viewer?action=UPDATE&amp;creator=factset&amp;DYN_ARGS=TRUE&amp;DOC_NAME=FAT:FQL_AUDITING_CLIENT_TEMPLATE.FAT&amp;display_string=Audit&amp;VAR:KEY=DUNQXCDQDM&amp;VAR:QUERY=RkZfREVCVF9MVChRVFIsMzk3MjQsMzk3MjQp&amp;WINDOW=FIRST_POPUP&amp;HEIGHT=450&amp;WIDTH=450&amp;START_MA","XIMIZED=FALSE&amp;VAR:CALENDAR=FIVEDAY&amp;VAR:SYMBOL=455710&amp;VAR:INDEX=0"}</definedName>
    <definedName name="_1642__FDSAUDITLINK__" hidden="1">{"fdsup://directions/FAT Viewer?action=UPDATE&amp;creator=factset&amp;DYN_ARGS=TRUE&amp;DOC_NAME=FAT:FQL_AUDITING_CLIENT_TEMPLATE.FAT&amp;display_string=Audit&amp;VAR:KEY=LMXANYPIZQ&amp;VAR:QUERY=RkZfREVCVF9MVChRVFIsMzk3MzEsMzk3MzEp&amp;WINDOW=FIRST_POPUP&amp;HEIGHT=450&amp;WIDTH=450&amp;START_MA","XIMIZED=FALSE&amp;VAR:CALENDAR=FIVEDAY&amp;VAR:SYMBOL=455710&amp;VAR:INDEX=0"}</definedName>
    <definedName name="_1643__FDSAUDITLINK__" hidden="1">{"fdsup://directions/FAT Viewer?action=UPDATE&amp;creator=factset&amp;DYN_ARGS=TRUE&amp;DOC_NAME=FAT:FQL_AUDITING_CLIENT_TEMPLATE.FAT&amp;display_string=Audit&amp;VAR:KEY=XCXGHCVOLU&amp;VAR:QUERY=RkZfREVCVF9MVChRVFIsMzk3MzgsMzk3Mzgp&amp;WINDOW=FIRST_POPUP&amp;HEIGHT=450&amp;WIDTH=450&amp;START_MA","XIMIZED=FALSE&amp;VAR:CALENDAR=FIVEDAY&amp;VAR:SYMBOL=455710&amp;VAR:INDEX=0"}</definedName>
    <definedName name="_1644__FDSAUDITLINK__" hidden="1">{"fdsup://Directions/FactSet Auditing Viewer?action=AUDIT_VALUE&amp;DB=129&amp;ID1=455710&amp;VALUEID=03051&amp;SDATE=200901&amp;PERIODTYPE=QTR_STD&amp;window=popup_no_bar&amp;width=385&amp;height=120&amp;START_MAXIMIZED=FALSE&amp;creator=factset&amp;display_string=Audit"}</definedName>
    <definedName name="_1645__FDSAUDITLINK__" hidden="1">{"fdsup://directions/FAT Viewer?action=UPDATE&amp;creator=factset&amp;DYN_ARGS=TRUE&amp;DOC_NAME=FAT:FQL_AUDITING_CLIENT_TEMPLATE.FAT&amp;display_string=Audit&amp;VAR:KEY=LGTIRGTCRC&amp;VAR:QUERY=RkZfREVCVF9MVChRVFIsMzk5MDYsMzk5MDYp&amp;WINDOW=FIRST_POPUP&amp;HEIGHT=450&amp;WIDTH=450&amp;START_MA","XIMIZED=FALSE&amp;VAR:CALENDAR=FIVEDAY&amp;VAR:SYMBOL=455710&amp;VAR:INDEX=0"}</definedName>
    <definedName name="_1646__FDSAUDITLINK__" hidden="1">{"fdsup://Directions/FactSet Auditing Viewer?action=AUDIT_VALUE&amp;DB=129&amp;ID1=455710&amp;VALUEID=03051&amp;SDATE=200901&amp;PERIODTYPE=QTR_STD&amp;window=popup_no_bar&amp;width=385&amp;height=120&amp;START_MAXIMIZED=FALSE&amp;creator=factset&amp;display_string=Audit"}</definedName>
    <definedName name="_1647__FDSAUDITLINK__" hidden="1">{"fdsup://directions/FAT Viewer?action=UPDATE&amp;creator=factset&amp;DYN_ARGS=TRUE&amp;DOC_NAME=FAT:FQL_AUDITING_CLIENT_TEMPLATE.FAT&amp;display_string=Audit&amp;VAR:KEY=XYTWLILEBW&amp;VAR:QUERY=RkZfREVCVF9MVChRVFIsMzk5MTMsMzk5MTMp&amp;WINDOW=FIRST_POPUP&amp;HEIGHT=450&amp;WIDTH=450&amp;START_MA","XIMIZED=FALSE&amp;VAR:CALENDAR=FIVEDAY&amp;VAR:SYMBOL=455710&amp;VAR:INDEX=0"}</definedName>
    <definedName name="_1648__FDSAUDITLINK__" hidden="1">{"fdsup://Directions/FactSet Auditing Viewer?action=AUDIT_VALUE&amp;DB=129&amp;ID1=455710&amp;VALUEID=03051&amp;SDATE=200901&amp;PERIODTYPE=QTR_STD&amp;window=popup_no_bar&amp;width=385&amp;height=120&amp;START_MAXIMIZED=FALSE&amp;creator=factset&amp;display_string=Audit"}</definedName>
    <definedName name="_1649__FDSAUDITLINK__" hidden="1">{"fdsup://directions/FAT Viewer?action=UPDATE&amp;creator=factset&amp;DYN_ARGS=TRUE&amp;DOC_NAME=FAT:FQL_AUDITING_CLIENT_TEMPLATE.FAT&amp;display_string=Audit&amp;VAR:KEY=ZCNQPCJERC&amp;VAR:QUERY=RkZfREVCVF9MVChRVFIsMzk5MjAsMzk5MjAp&amp;WINDOW=FIRST_POPUP&amp;HEIGHT=450&amp;WIDTH=450&amp;START_MA","XIMIZED=FALSE&amp;VAR:CALENDAR=FIVEDAY&amp;VAR:SYMBOL=455710&amp;VAR:INDEX=0"}</definedName>
    <definedName name="_165__FDSAUDITLINK__" hidden="1">{"fdsup://IBCentral/FAT Viewer?action=UPDATE&amp;creator=factset&amp;DOC_NAME=fat:reuters_annual_pshs_src_window.fat&amp;display_string=Audit&amp;DYN_ARGS=TRUE&amp;VAR:ID1=58155Q10&amp;VAR:RCODE=FDSEPS&amp;VAR:SDATE=20070399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50__FDSAUDITLINK__" hidden="1">{"fdsup://Directions/FactSet Auditing Viewer?action=AUDIT_VALUE&amp;DB=129&amp;ID1=455710&amp;VALUEID=03051&amp;SDATE=200902&amp;PERIODTYPE=QTR_STD&amp;window=popup_no_bar&amp;width=385&amp;height=120&amp;START_MAXIMIZED=FALSE&amp;creator=factset&amp;display_string=Audit"}</definedName>
    <definedName name="_1651__FDSAUDITLINK__" hidden="1">{"fdsup://directions/FAT Viewer?action=UPDATE&amp;creator=factset&amp;DYN_ARGS=TRUE&amp;DOC_NAME=FAT:FQL_AUDITING_CLIENT_TEMPLATE.FAT&amp;display_string=Audit&amp;VAR:KEY=FMJYNSRKRQ&amp;VAR:QUERY=RkZfREVCVF9MVChRVFIsMzk5OTcsMzk5OTcp&amp;WINDOW=FIRST_POPUP&amp;HEIGHT=450&amp;WIDTH=450&amp;START_MA","XIMIZED=FALSE&amp;VAR:CALENDAR=FIVEDAY&amp;VAR:SYMBOL=455710&amp;VAR:INDEX=0"}</definedName>
    <definedName name="_1652__FDSAUDITLINK__" hidden="1">{"fdsup://Directions/FactSet Auditing Viewer?action=AUDIT_VALUE&amp;DB=129&amp;ID1=455710&amp;VALUEID=03051&amp;SDATE=200902&amp;PERIODTYPE=QTR_STD&amp;window=popup_no_bar&amp;width=385&amp;height=120&amp;START_MAXIMIZED=FALSE&amp;creator=factset&amp;display_string=Audit"}</definedName>
    <definedName name="_1653__FDSAUDITLINK__" hidden="1">{"fdsup://directions/FAT Viewer?action=UPDATE&amp;creator=factset&amp;DYN_ARGS=TRUE&amp;DOC_NAME=FAT:FQL_AUDITING_CLIENT_TEMPLATE.FAT&amp;display_string=Audit&amp;VAR:KEY=PSZQFWDIBC&amp;VAR:QUERY=RkZfREVCVF9MVChRVFIsNDAwMDQsNDAwMDQp&amp;WINDOW=FIRST_POPUP&amp;HEIGHT=450&amp;WIDTH=450&amp;START_MA","XIMIZED=FALSE&amp;VAR:CALENDAR=FIVEDAY&amp;VAR:SYMBOL=455710&amp;VAR:INDEX=0"}</definedName>
    <definedName name="_1654__FDSAUDITLINK__" hidden="1">{"fdsup://Directions/FactSet Auditing Viewer?action=AUDIT_VALUE&amp;DB=129&amp;ID1=455710&amp;VALUEID=03051&amp;SDATE=200902&amp;PERIODTYPE=QTR_STD&amp;window=popup_no_bar&amp;width=385&amp;height=120&amp;START_MAXIMIZED=FALSE&amp;creator=factset&amp;display_string=Audit"}</definedName>
    <definedName name="_1655__FDSAUDITLINK__" hidden="1">{"fdsup://directions/FAT Viewer?action=UPDATE&amp;creator=factset&amp;DYN_ARGS=TRUE&amp;DOC_NAME=FAT:FQL_AUDITING_CLIENT_TEMPLATE.FAT&amp;display_string=Audit&amp;VAR:KEY=ZWHKPWVEPO&amp;VAR:QUERY=RkZfREVCVF9MVChRVFIsNDAwMTEsNDAwMTEp&amp;WINDOW=FIRST_POPUP&amp;HEIGHT=450&amp;WIDTH=450&amp;START_MA","XIMIZED=FALSE&amp;VAR:CALENDAR=FIVEDAY&amp;VAR:SYMBOL=455710&amp;VAR:INDEX=0"}</definedName>
    <definedName name="_1656__FDSAUDITLINK__" hidden="1">{"fdsup://directions/FAT Viewer?action=UPDATE&amp;creator=factset&amp;DYN_ARGS=TRUE&amp;DOC_NAME=FAT:FQL_AUDITING_CLIENT_TEMPLATE.FAT&amp;display_string=Audit&amp;VAR:KEY=PEDIZGZGVQ&amp;VAR:QUERY=RkZfREVCVF9MVChRVFIsNDAwODgsNDAwODgp&amp;WINDOW=FIRST_POPUP&amp;HEIGHT=450&amp;WIDTH=450&amp;START_MA","XIMIZED=FALSE&amp;VAR:CALENDAR=FIVEDAY&amp;VAR:SYMBOL=455710&amp;VAR:INDEX=0"}</definedName>
    <definedName name="_1657__FDSAUDITLINK__" hidden="1">{"fdsup://directions/FAT Viewer?action=UPDATE&amp;creator=factset&amp;DYN_ARGS=TRUE&amp;DOC_NAME=FAT:FQL_AUDITING_CLIENT_TEMPLATE.FAT&amp;display_string=Audit&amp;VAR:KEY=RALMPIVWTS&amp;VAR:QUERY=RkZfREVCVF9MVChRVFIsNDAwOTUsNDAwOTUp&amp;WINDOW=FIRST_POPUP&amp;HEIGHT=450&amp;WIDTH=450&amp;START_MA","XIMIZED=FALSE&amp;VAR:CALENDAR=FIVEDAY&amp;VAR:SYMBOL=455710&amp;VAR:INDEX=0"}</definedName>
    <definedName name="_1658__FDSAUDITLINK__" hidden="1">{"fdsup://directions/FAT Viewer?action=UPDATE&amp;creator=factset&amp;DYN_ARGS=TRUE&amp;DOC_NAME=FAT:FQL_AUDITING_CLIENT_TEMPLATE.FAT&amp;display_string=Audit&amp;VAR:KEY=LQZKBQJCXW&amp;VAR:QUERY=RkZfREVCVF9MVChRVFIsNDAxMDIsNDAxMDIp&amp;WINDOW=FIRST_POPUP&amp;HEIGHT=450&amp;WIDTH=450&amp;START_MA","XIMIZED=FALSE&amp;VAR:CALENDAR=FIVEDAY&amp;VAR:SYMBOL=455710&amp;VAR:INDEX=0"}</definedName>
    <definedName name="_1659__FDSAUDITLINK__" hidden="1">{"fdsup://directions/FAT Viewer?action=UPDATE&amp;creator=factset&amp;DYN_ARGS=TRUE&amp;DOC_NAME=FAT:FQL_AUDITING_CLIENT_TEMPLATE.FAT&amp;display_string=Audit&amp;VAR:KEY=VEZULIBGHQ&amp;VAR:QUERY=RkZfREVCVF9MVChRVFIsMzg4MTQsMzg4MTQp&amp;WINDOW=FIRST_POPUP&amp;HEIGHT=450&amp;WIDTH=450&amp;START_MA","XIMIZED=FALSE&amp;VAR:CALENDAR=FIVEDAY&amp;VAR:SYMBOL=455710&amp;VAR:INDEX=0"}</definedName>
    <definedName name="_166__FDSAUDITLINK__" hidden="1">{"fdsup://IBCentral/FAT Viewer?action=UPDATE&amp;creator=factset&amp;DOC_NAME=fat:reuters_annual_pshs_src_window.fat&amp;display_string=Audit&amp;DYN_ARGS=TRUE&amp;VAR:ID1=58155Q10&amp;VAR:RCODE=FDSEPS&amp;VAR:SDATE=20060399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PAZQVCDSRA&amp;VAR:QUERY=RkZfREVCVF9MVChRVFIsMzg5MDUsMzg5MDUp&amp;WINDOW=FIRST_POPUP&amp;HEIGHT=450&amp;WIDTH=450&amp;START_MA","XIMIZED=FALSE&amp;VAR:CALENDAR=FIVEDAY&amp;VAR:SYMBOL=455710&amp;VAR:INDEX=0"}</definedName>
    <definedName name="_1661__FDSAUDITLINK__" hidden="1">{"fdsup://directions/FAT Viewer?action=UPDATE&amp;creator=factset&amp;DYN_ARGS=TRUE&amp;DOC_NAME=FAT:FQL_AUDITING_CLIENT_TEMPLATE.FAT&amp;display_string=Audit&amp;VAR:KEY=ZKBUHWJUHE&amp;VAR:QUERY=RkZfREVCVF9MVChRVFIsMzg4OTgsMzg4OTgp&amp;WINDOW=FIRST_POPUP&amp;HEIGHT=450&amp;WIDTH=450&amp;START_MA","XIMIZED=FALSE&amp;VAR:CALENDAR=FIVEDAY&amp;VAR:SYMBOL=455710&amp;VAR:INDEX=0"}</definedName>
    <definedName name="_1662__FDSAUDITLINK__" hidden="1">{"fdsup://directions/FAT Viewer?action=UPDATE&amp;creator=factset&amp;DYN_ARGS=TRUE&amp;DOC_NAME=FAT:FQL_AUDITING_CLIENT_TEMPLATE.FAT&amp;display_string=Audit&amp;VAR:KEY=JMLKZUHIFU&amp;VAR:QUERY=RkZfREVCVF9MVChRVFIsMzg4OTEsMzg4OTEp&amp;WINDOW=FIRST_POPUP&amp;HEIGHT=450&amp;WIDTH=450&amp;START_MA","XIMIZED=FALSE&amp;VAR:CALENDAR=FIVEDAY&amp;VAR:SYMBOL=455710&amp;VAR:INDEX=0"}</definedName>
    <definedName name="_1663__FDSAUDITLINK__" hidden="1">{"fdsup://directions/FAT Viewer?action=UPDATE&amp;creator=factset&amp;DYN_ARGS=TRUE&amp;DOC_NAME=FAT:FQL_AUDITING_CLIENT_TEMPLATE.FAT&amp;display_string=Audit&amp;VAR:KEY=JMLKZUHIFU&amp;VAR:QUERY=RkZfREVCVF9MVChRVFIsMzg4OTEsMzg4OTEp&amp;WINDOW=FIRST_POPUP&amp;HEIGHT=450&amp;WIDTH=450&amp;START_MA","XIMIZED=FALSE&amp;VAR:CALENDAR=FIVEDAY&amp;VAR:SYMBOL=455710&amp;VAR:INDEX=0"}</definedName>
    <definedName name="_1664__FDSAUDITLINK__" hidden="1">{"fdsup://directions/FAT Viewer?action=UPDATE&amp;creator=factset&amp;DYN_ARGS=TRUE&amp;DOC_NAME=FAT:FQL_AUDITING_CLIENT_TEMPLATE.FAT&amp;display_string=Audit&amp;VAR:KEY=PAZQVCDSRA&amp;VAR:QUERY=RkZfREVCVF9MVChRVFIsMzg5MDUsMzg5MDUp&amp;WINDOW=FIRST_POPUP&amp;HEIGHT=450&amp;WIDTH=450&amp;START_MA","XIMIZED=FALSE&amp;VAR:CALENDAR=FIVEDAY&amp;VAR:SYMBOL=455710&amp;VAR:INDEX=0"}</definedName>
    <definedName name="_1665__FDSAUDITLINK__" hidden="1">{"fdsup://directions/FAT Viewer?action=UPDATE&amp;creator=factset&amp;DYN_ARGS=TRUE&amp;DOC_NAME=FAT:FQL_AUDITING_CLIENT_TEMPLATE.FAT&amp;display_string=Audit&amp;VAR:KEY=FMRSBWPITO&amp;VAR:QUERY=RkZfREVCVF9MVChRVFIsMzg5ODksMzg5ODkp&amp;WINDOW=FIRST_POPUP&amp;HEIGHT=450&amp;WIDTH=450&amp;START_MA","XIMIZED=FALSE&amp;VAR:CALENDAR=FIVEDAY&amp;VAR:SYMBOL=455710&amp;VAR:INDEX=0"}</definedName>
    <definedName name="_1666__FDSAUDITLINK__" hidden="1">{"fdsup://directions/FAT Viewer?action=UPDATE&amp;creator=factset&amp;DYN_ARGS=TRUE&amp;DOC_NAME=FAT:FQL_AUDITING_CLIENT_TEMPLATE.FAT&amp;display_string=Audit&amp;VAR:KEY=LSZIDEBQTQ&amp;VAR:QUERY=RkZfREVCVF9MVChRVFIsMzg5ODIsMzg5ODIp&amp;WINDOW=FIRST_POPUP&amp;HEIGHT=450&amp;WIDTH=450&amp;START_MA","XIMIZED=FALSE&amp;VAR:CALENDAR=FIVEDAY&amp;VAR:SYMBOL=455710&amp;VAR:INDEX=0"}</definedName>
    <definedName name="_1667__FDSAUDITLINK__" hidden="1">{"fdsup://directions/FAT Viewer?action=UPDATE&amp;creator=factset&amp;DYN_ARGS=TRUE&amp;DOC_NAME=FAT:FQL_AUDITING_CLIENT_TEMPLATE.FAT&amp;display_string=Audit&amp;VAR:KEY=FGDCJUXIRW&amp;VAR:QUERY=RkZfREVCVF9MVChRVFIsMzg5NzUsMzg5NzUp&amp;WINDOW=FIRST_POPUP&amp;HEIGHT=450&amp;WIDTH=450&amp;START_MA","XIMIZED=FALSE&amp;VAR:CALENDAR=FIVEDAY&amp;VAR:SYMBOL=455710&amp;VAR:INDEX=0"}</definedName>
    <definedName name="_1668__FDSAUDITLINK__" hidden="1">{"fdsup://directions/FAT Viewer?action=UPDATE&amp;creator=factset&amp;DYN_ARGS=TRUE&amp;DOC_NAME=FAT:FQL_AUDITING_CLIENT_TEMPLATE.FAT&amp;display_string=Audit&amp;VAR:KEY=JQNYDGHYJS&amp;VAR:QUERY=RkZfREVCVF9MVChRVFIsMzg5NjgsMzg5Njgp&amp;WINDOW=FIRST_POPUP&amp;HEIGHT=450&amp;WIDTH=450&amp;START_MA","XIMIZED=FALSE&amp;VAR:CALENDAR=FIVEDAY&amp;VAR:SYMBOL=455710&amp;VAR:INDEX=0"}</definedName>
    <definedName name="_1669__FDSAUDITLINK__" hidden="1">{"fdsup://directions/FAT Viewer?action=UPDATE&amp;creator=factset&amp;DYN_ARGS=TRUE&amp;DOC_NAME=FAT:FQL_AUDITING_CLIENT_TEMPLATE.FAT&amp;display_string=Audit&amp;VAR:KEY=DWZWHCLIPK&amp;VAR:QUERY=RkZfREVCVF9MVChRVFIsMzg5NjEsMzg5NjEp&amp;WINDOW=FIRST_POPUP&amp;HEIGHT=450&amp;WIDTH=450&amp;START_MA","XIMIZED=FALSE&amp;VAR:CALENDAR=FIVEDAY&amp;VAR:SYMBOL=455710&amp;VAR:INDEX=0"}</definedName>
    <definedName name="_167__FDSAUDITLINK__" hidden="1">{"fdsup://IBCentral/FAT Viewer?action=UPDATE&amp;creator=factset&amp;DOC_NAME=fat:reuters_annual_pshs_src_window.fat&amp;display_string=Audit&amp;DYN_ARGS=TRUE&amp;VAR:ID1=58155Q10&amp;VAR:RCODE=FDSEPS&amp;VAR:SDATE=20050399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FSFMRORYNE&amp;VAR:QUERY=RkZfREVCVF9MVChRVFIsMzg5NTQsMzg5NTQp&amp;WINDOW=FIRST_POPUP&amp;HEIGHT=450&amp;WIDTH=450&amp;START_MA","XIMIZED=FALSE&amp;VAR:CALENDAR=FIVEDAY&amp;VAR:SYMBOL=455710&amp;VAR:INDEX=0"}</definedName>
    <definedName name="_1671__FDSAUDITLINK__" hidden="1">{"fdsup://directions/FAT Viewer?action=UPDATE&amp;creator=factset&amp;DYN_ARGS=TRUE&amp;DOC_NAME=FAT:FQL_AUDITING_CLIENT_TEMPLATE.FAT&amp;display_string=Audit&amp;VAR:KEY=PQTSTYXGHM&amp;VAR:QUERY=RkZfREVCVF9MVChRVFIsMzg5NDcsMzg5NDcp&amp;WINDOW=FIRST_POPUP&amp;HEIGHT=450&amp;WIDTH=450&amp;START_MA","XIMIZED=FALSE&amp;VAR:CALENDAR=FIVEDAY&amp;VAR:SYMBOL=455710&amp;VAR:INDEX=0"}</definedName>
    <definedName name="_1672__FDSAUDITLINK__" hidden="1">{"fdsup://directions/FAT Viewer?action=UPDATE&amp;creator=factset&amp;DYN_ARGS=TRUE&amp;DOC_NAME=FAT:FQL_AUDITING_CLIENT_TEMPLATE.FAT&amp;display_string=Audit&amp;VAR:KEY=ZIJAZAJADO&amp;VAR:QUERY=RkZfREVCVF9MVChRVFIsMzg5NDAsMzg5NDAp&amp;WINDOW=FIRST_POPUP&amp;HEIGHT=450&amp;WIDTH=450&amp;START_MA","XIMIZED=FALSE&amp;VAR:CALENDAR=FIVEDAY&amp;VAR:SYMBOL=455710&amp;VAR:INDEX=0"}</definedName>
    <definedName name="_1673__FDSAUDITLINK__" hidden="1">{"fdsup://directions/FAT Viewer?action=UPDATE&amp;creator=factset&amp;DYN_ARGS=TRUE&amp;DOC_NAME=FAT:FQL_AUDITING_CLIENT_TEMPLATE.FAT&amp;display_string=Audit&amp;VAR:KEY=PKJQTUPKFU&amp;VAR:QUERY=RkZfREVCVF9MVChRVFIsMzg5MzMsMzg5MzMp&amp;WINDOW=FIRST_POPUP&amp;HEIGHT=450&amp;WIDTH=450&amp;START_MA","XIMIZED=FALSE&amp;VAR:CALENDAR=FIVEDAY&amp;VAR:SYMBOL=455710&amp;VAR:INDEX=0"}</definedName>
    <definedName name="_1674__FDSAUDITLINK__" hidden="1">{"fdsup://directions/FAT Viewer?action=UPDATE&amp;creator=factset&amp;DYN_ARGS=TRUE&amp;DOC_NAME=FAT:FQL_AUDITING_CLIENT_TEMPLATE.FAT&amp;display_string=Audit&amp;VAR:KEY=ZUDURKLYNY&amp;VAR:QUERY=RkZfREVCVF9MVChRVFIsMzg5MjYsMzg5MjYp&amp;WINDOW=FIRST_POPUP&amp;HEIGHT=450&amp;WIDTH=450&amp;START_MA","XIMIZED=FALSE&amp;VAR:CALENDAR=FIVEDAY&amp;VAR:SYMBOL=455710&amp;VAR:INDEX=0"}</definedName>
    <definedName name="_1675__FDSAUDITLINK__" hidden="1">{"fdsup://directions/FAT Viewer?action=UPDATE&amp;creator=factset&amp;DYN_ARGS=TRUE&amp;DOC_NAME=FAT:FQL_AUDITING_CLIENT_TEMPLATE.FAT&amp;display_string=Audit&amp;VAR:KEY=NAPCJAJYNW&amp;VAR:QUERY=RkZfREVCVF9MVChRVFIsMzg5MTksMzg5MTkp&amp;WINDOW=FIRST_POPUP&amp;HEIGHT=450&amp;WIDTH=450&amp;START_MA","XIMIZED=FALSE&amp;VAR:CALENDAR=FIVEDAY&amp;VAR:SYMBOL=455710&amp;VAR:INDEX=0"}</definedName>
    <definedName name="_1676__FDSAUDITLINK__" hidden="1">{"fdsup://directions/FAT Viewer?action=UPDATE&amp;creator=factset&amp;DYN_ARGS=TRUE&amp;DOC_NAME=FAT:FQL_AUDITING_CLIENT_TEMPLATE.FAT&amp;display_string=Audit&amp;VAR:KEY=VKFOZMTUJU&amp;VAR:QUERY=RkZfREVCVF9MVChRVFIsMzg5OTYsMzg5OTYp&amp;WINDOW=FIRST_POPUP&amp;HEIGHT=450&amp;WIDTH=450&amp;START_MA","XIMIZED=FALSE&amp;VAR:CALENDAR=FIVEDAY&amp;VAR:SYMBOL=455710&amp;VAR:INDEX=0"}</definedName>
    <definedName name="_1677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1678__FDSAUDITLINK__" hidden="1">{"fdsup://directions/FAT Viewer?action=UPDATE&amp;creator=factset&amp;DYN_ARGS=TRUE&amp;DOC_NAME=FAT:FQL_AUDITING_CLIENT_TEMPLATE.FAT&amp;display_string=Audit&amp;VAR:KEY=ZOZMLARMLG&amp;VAR:QUERY=RkZfREVCVF9MVChRVFIsMzkwNzMsMzkwNzMp&amp;WINDOW=FIRST_POPUP&amp;HEIGHT=450&amp;WIDTH=450&amp;START_MA","XIMIZED=FALSE&amp;VAR:CALENDAR=FIVEDAY&amp;VAR:SYMBOL=455710&amp;VAR:INDEX=0"}</definedName>
    <definedName name="_1679__FDSAUDITLINK__" hidden="1">{"fdsup://directions/FAT Viewer?action=UPDATE&amp;creator=factset&amp;DYN_ARGS=TRUE&amp;DOC_NAME=FAT:FQL_AUDITING_CLIENT_TEMPLATE.FAT&amp;display_string=Audit&amp;VAR:KEY=LMVSFMTKNA&amp;VAR:QUERY=RkZfREVCVF9MVChRVFIsMzkwNjYsMzkwNjYp&amp;WINDOW=FIRST_POPUP&amp;HEIGHT=450&amp;WIDTH=450&amp;START_MA","XIMIZED=FALSE&amp;VAR:CALENDAR=FIVEDAY&amp;VAR:SYMBOL=455710&amp;VAR:INDEX=0"}</definedName>
    <definedName name="_168__FDSAUDITLINK__" hidden="1">{"fdsup://IBCentral/FAT Viewer?action=UPDATE&amp;creator=factset&amp;DOC_NAME=fat:reuters_annual_pshs_src_window.fat&amp;display_string=Audit&amp;DYN_ARGS=TRUE&amp;VAR:ID1=58155Q10&amp;VAR:RCODE=FDSEPS&amp;VAR:SDATE=20040399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RAPGLWXGZA&amp;VAR:QUERY=RkZfREVCVF9MVChRVFIsMzkwNTksMzkwNTkp&amp;WINDOW=FIRST_POPUP&amp;HEIGHT=450&amp;WIDTH=450&amp;START_MA","XIMIZED=FALSE&amp;VAR:CALENDAR=FIVEDAY&amp;VAR:SYMBOL=455710&amp;VAR:INDEX=0"}</definedName>
    <definedName name="_1681__FDSAUDITLINK__" hidden="1">{"fdsup://directions/FAT Viewer?action=UPDATE&amp;creator=factset&amp;DYN_ARGS=TRUE&amp;DOC_NAME=FAT:FQL_AUDITING_CLIENT_TEMPLATE.FAT&amp;display_string=Audit&amp;VAR:KEY=NUDKVQVUBM&amp;VAR:QUERY=RkZfREVCVF9MVChRVFIsMzkwNTIsMzkwNTIp&amp;WINDOW=FIRST_POPUP&amp;HEIGHT=450&amp;WIDTH=450&amp;START_MA","XIMIZED=FALSE&amp;VAR:CALENDAR=FIVEDAY&amp;VAR:SYMBOL=455710&amp;VAR:INDEX=0"}</definedName>
    <definedName name="_1682__FDSAUDITLINK__" hidden="1">{"fdsup://directions/FAT Viewer?action=UPDATE&amp;creator=factset&amp;DYN_ARGS=TRUE&amp;DOC_NAME=FAT:FQL_AUDITING_CLIENT_TEMPLATE.FAT&amp;display_string=Audit&amp;VAR:KEY=ZMVIHYXWXS&amp;VAR:QUERY=RkZfREVCVF9MVChRVFIsMzkwNDUsMzkwNDUp&amp;WINDOW=FIRST_POPUP&amp;HEIGHT=450&amp;WIDTH=450&amp;START_MA","XIMIZED=FALSE&amp;VAR:CALENDAR=FIVEDAY&amp;VAR:SYMBOL=455710&amp;VAR:INDEX=0"}</definedName>
    <definedName name="_1683__FDSAUDITLINK__" hidden="1">{"fdsup://directions/FAT Viewer?action=UPDATE&amp;creator=factset&amp;DYN_ARGS=TRUE&amp;DOC_NAME=FAT:FQL_AUDITING_CLIENT_TEMPLATE.FAT&amp;display_string=Audit&amp;VAR:KEY=PARADSHUVI&amp;VAR:QUERY=RkZfREVCVF9MVChRVFIsMzkwMzgsMzkwMzgp&amp;WINDOW=FIRST_POPUP&amp;HEIGHT=450&amp;WIDTH=450&amp;START_MA","XIMIZED=FALSE&amp;VAR:CALENDAR=FIVEDAY&amp;VAR:SYMBOL=455710&amp;VAR:INDEX=0"}</definedName>
    <definedName name="_1684__FDSAUDITLINK__" hidden="1">{"fdsup://directions/FAT Viewer?action=UPDATE&amp;creator=factset&amp;DYN_ARGS=TRUE&amp;DOC_NAME=FAT:FQL_AUDITING_CLIENT_TEMPLATE.FAT&amp;display_string=Audit&amp;VAR:KEY=PANWBGXOVS&amp;VAR:QUERY=RkZfREVCVF9MVChRVFIsMzkwMzEsMzkwMzEp&amp;WINDOW=FIRST_POPUP&amp;HEIGHT=450&amp;WIDTH=450&amp;START_MA","XIMIZED=FALSE&amp;VAR:CALENDAR=FIVEDAY&amp;VAR:SYMBOL=455710&amp;VAR:INDEX=0"}</definedName>
    <definedName name="_1685__FDSAUDITLINK__" hidden="1">{"fdsup://directions/FAT Viewer?action=UPDATE&amp;creator=factset&amp;DYN_ARGS=TRUE&amp;DOC_NAME=FAT:FQL_AUDITING_CLIENT_TEMPLATE.FAT&amp;display_string=Audit&amp;VAR:KEY=LIPSHUBUBI&amp;VAR:QUERY=RkZfREVCVF9MVChRVFIsMzkwMjQsMzkwMjQp&amp;WINDOW=FIRST_POPUP&amp;HEIGHT=450&amp;WIDTH=450&amp;START_MA","XIMIZED=FALSE&amp;VAR:CALENDAR=FIVEDAY&amp;VAR:SYMBOL=455710&amp;VAR:INDEX=0"}</definedName>
    <definedName name="_1686__FDSAUDITLINK__" hidden="1">{"fdsup://directions/FAT Viewer?action=UPDATE&amp;creator=factset&amp;DYN_ARGS=TRUE&amp;DOC_NAME=FAT:FQL_AUDITING_CLIENT_TEMPLATE.FAT&amp;display_string=Audit&amp;VAR:KEY=BOVGZYNING&amp;VAR:QUERY=RkZfREVCVF9MVChRVFIsMzkwMTcsMzkwMTcp&amp;WINDOW=FIRST_POPUP&amp;HEIGHT=450&amp;WIDTH=450&amp;START_MA","XIMIZED=FALSE&amp;VAR:CALENDAR=FIVEDAY&amp;VAR:SYMBOL=455710&amp;VAR:INDEX=0"}</definedName>
    <definedName name="_1687__FDSAUDITLINK__" hidden="1">{"fdsup://directions/FAT Viewer?action=UPDATE&amp;creator=factset&amp;DYN_ARGS=TRUE&amp;DOC_NAME=FAT:FQL_AUDITING_CLIENT_TEMPLATE.FAT&amp;display_string=Audit&amp;VAR:KEY=PKTIZONWFK&amp;VAR:QUERY=RkZfREVCVF9MVChRVFIsMzkwODcsMzkwODcp&amp;WINDOW=FIRST_POPUP&amp;HEIGHT=450&amp;WIDTH=450&amp;START_MA","XIMIZED=FALSE&amp;VAR:CALENDAR=FIVEDAY&amp;VAR:SYMBOL=455710&amp;VAR:INDEX=0"}</definedName>
    <definedName name="_1688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1689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169__FDSAUDITLINK__" hidden="1">{"fdsup://IBCentral/FAT Viewer?action=UPDATE&amp;creator=factset&amp;DOC_NAME=fat:reuters_annual_pshs_src_window.fat&amp;display_string=Audit&amp;DYN_ARGS=TRUE&amp;VAR:ID1=58155Q10&amp;VAR:RCODE=FDSEPS&amp;VAR:SDATE=20030399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JWVQXINSLI&amp;VAR:QUERY=RkZfREVCVF9MVChRVFIsMzkwMDMsMzkwMDMp&amp;WINDOW=FIRST_POPUP&amp;HEIGHT=450&amp;WIDTH=450&amp;START_MA","XIMIZED=FALSE&amp;VAR:CALENDAR=FIVEDAY&amp;VAR:SYMBOL=455710&amp;VAR:INDEX=0"}</definedName>
    <definedName name="_1691__FDSAUDITLINK__" hidden="1">{"fdsup://directions/FAT Viewer?action=UPDATE&amp;creator=factset&amp;DYN_ARGS=TRUE&amp;DOC_NAME=FAT:FQL_AUDITING_CLIENT_TEMPLATE.FAT&amp;display_string=Audit&amp;VAR:KEY=RULQXIFMVU&amp;VAR:QUERY=RkZfREVCVF9MVChRVFIsMzkwMTAsMzkwMTAp&amp;WINDOW=FIRST_POPUP&amp;HEIGHT=450&amp;WIDTH=450&amp;START_MA","XIMIZED=FALSE&amp;VAR:CALENDAR=FIVEDAY&amp;VAR:SYMBOL=455710&amp;VAR:INDEX=0"}</definedName>
    <definedName name="_1692__FDSAUDITLINK__" hidden="1">{"fdsup://directions/FAT Viewer?action=UPDATE&amp;creator=factset&amp;DYN_ARGS=TRUE&amp;DOC_NAME=FAT:FQL_AUDITING_CLIENT_TEMPLATE.FAT&amp;display_string=Audit&amp;VAR:KEY=BOVGZYNING&amp;VAR:QUERY=RkZfREVCVF9MVChRVFIsMzkwMTcsMzkwMTcp&amp;WINDOW=FIRST_POPUP&amp;HEIGHT=450&amp;WIDTH=450&amp;START_MA","XIMIZED=FALSE&amp;VAR:CALENDAR=FIVEDAY&amp;VAR:SYMBOL=455710&amp;VAR:INDEX=0"}</definedName>
    <definedName name="_1693__FDSAUDITLINK__" hidden="1">{"fdsup://directions/FAT Viewer?action=UPDATE&amp;creator=factset&amp;DYN_ARGS=TRUE&amp;DOC_NAME=FAT:FQL_AUDITING_CLIENT_TEMPLATE.FAT&amp;display_string=Audit&amp;VAR:KEY=LIPSHUBUBI&amp;VAR:QUERY=RkZfREVCVF9MVChRVFIsMzkwMjQsMzkwMjQp&amp;WINDOW=FIRST_POPUP&amp;HEIGHT=450&amp;WIDTH=450&amp;START_MA","XIMIZED=FALSE&amp;VAR:CALENDAR=FIVEDAY&amp;VAR:SYMBOL=455710&amp;VAR:INDEX=0"}</definedName>
    <definedName name="_1694__FDSAUDITLINK__" hidden="1">{"fdsup://directions/FAT Viewer?action=UPDATE&amp;creator=factset&amp;DYN_ARGS=TRUE&amp;DOC_NAME=FAT:FQL_AUDITING_CLIENT_TEMPLATE.FAT&amp;display_string=Audit&amp;VAR:KEY=PANWBGXOVS&amp;VAR:QUERY=RkZfREVCVF9MVChRVFIsMzkwMzEsMzkwMzEp&amp;WINDOW=FIRST_POPUP&amp;HEIGHT=450&amp;WIDTH=450&amp;START_MA","XIMIZED=FALSE&amp;VAR:CALENDAR=FIVEDAY&amp;VAR:SYMBOL=455710&amp;VAR:INDEX=0"}</definedName>
    <definedName name="_1695__FDSAUDITLINK__" hidden="1">{"fdsup://directions/FAT Viewer?action=UPDATE&amp;creator=factset&amp;DYN_ARGS=TRUE&amp;DOC_NAME=FAT:FQL_AUDITING_CLIENT_TEMPLATE.FAT&amp;display_string=Audit&amp;VAR:KEY=PARADSHUVI&amp;VAR:QUERY=RkZfREVCVF9MVChRVFIsMzkwMzgsMzkwMzgp&amp;WINDOW=FIRST_POPUP&amp;HEIGHT=450&amp;WIDTH=450&amp;START_MA","XIMIZED=FALSE&amp;VAR:CALENDAR=FIVEDAY&amp;VAR:SYMBOL=455710&amp;VAR:INDEX=0"}</definedName>
    <definedName name="_1696__FDSAUDITLINK__" hidden="1">{"fdsup://directions/FAT Viewer?action=UPDATE&amp;creator=factset&amp;DYN_ARGS=TRUE&amp;DOC_NAME=FAT:FQL_AUDITING_CLIENT_TEMPLATE.FAT&amp;display_string=Audit&amp;VAR:KEY=ZMVIHYXWXS&amp;VAR:QUERY=RkZfREVCVF9MVChRVFIsMzkwNDUsMzkwNDUp&amp;WINDOW=FIRST_POPUP&amp;HEIGHT=450&amp;WIDTH=450&amp;START_MA","XIMIZED=FALSE&amp;VAR:CALENDAR=FIVEDAY&amp;VAR:SYMBOL=455710&amp;VAR:INDEX=0"}</definedName>
    <definedName name="_1697__FDSAUDITLINK__" hidden="1">{"fdsup://directions/FAT Viewer?action=UPDATE&amp;creator=factset&amp;DYN_ARGS=TRUE&amp;DOC_NAME=FAT:FQL_AUDITING_CLIENT_TEMPLATE.FAT&amp;display_string=Audit&amp;VAR:KEY=NUDKVQVUBM&amp;VAR:QUERY=RkZfREVCVF9MVChRVFIsMzkwNTIsMzkwNTIp&amp;WINDOW=FIRST_POPUP&amp;HEIGHT=450&amp;WIDTH=450&amp;START_MA","XIMIZED=FALSE&amp;VAR:CALENDAR=FIVEDAY&amp;VAR:SYMBOL=455710&amp;VAR:INDEX=0"}</definedName>
    <definedName name="_1698__FDSAUDITLINK__" hidden="1">{"fdsup://directions/FAT Viewer?action=UPDATE&amp;creator=factset&amp;DYN_ARGS=TRUE&amp;DOC_NAME=FAT:FQL_AUDITING_CLIENT_TEMPLATE.FAT&amp;display_string=Audit&amp;VAR:KEY=RAPGLWXGZA&amp;VAR:QUERY=RkZfREVCVF9MVChRVFIsMzkwNTksMzkwNTkp&amp;WINDOW=FIRST_POPUP&amp;HEIGHT=450&amp;WIDTH=450&amp;START_MA","XIMIZED=FALSE&amp;VAR:CALENDAR=FIVEDAY&amp;VAR:SYMBOL=455710&amp;VAR:INDEX=0"}</definedName>
    <definedName name="_1699__FDSAUDITLINK__" hidden="1">{"fdsup://directions/FAT Viewer?action=UPDATE&amp;creator=factset&amp;DYN_ARGS=TRUE&amp;DOC_NAME=FAT:FQL_AUDITING_CLIENT_TEMPLATE.FAT&amp;display_string=Audit&amp;VAR:KEY=LMVSFMTKNA&amp;VAR:QUERY=RkZfREVCVF9MVChRVFIsMzkwNjYsMzkwNjYp&amp;WINDOW=FIRST_POPUP&amp;HEIGHT=450&amp;WIDTH=450&amp;START_MA","XIMIZED=FALSE&amp;VAR:CALENDAR=FIVEDAY&amp;VAR:SYMBOL=455710&amp;VAR:INDEX=0"}</definedName>
    <definedName name="_17__FDSAUDITLINK__" hidden="1">{"fdsup://IBCentral/FAT Viewer?action=UPDATE&amp;creator=factset&amp;DOC_NAME=fat:reuters_annual_source_window.fat&amp;display_string=Audit&amp;DYN_ARGS=TRUE&amp;VAR:ID1=03073E10&amp;VAR:RCODE=FCDP&amp;VAR:SDATE=20020999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annual_pshs_src_window.fat&amp;display_string=Audit&amp;DYN_ARGS=TRUE&amp;VAR:ID1=58155Q10&amp;VAR:RCODE=FDSEPS&amp;VAR:SDATE=20020399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ZOZMLARMLG&amp;VAR:QUERY=RkZfREVCVF9MVChRVFIsMzkwNzMsMzkwNzMp&amp;WINDOW=FIRST_POPUP&amp;HEIGHT=450&amp;WIDTH=450&amp;START_MA","XIMIZED=FALSE&amp;VAR:CALENDAR=FIVEDAY&amp;VAR:SYMBOL=455710&amp;VAR:INDEX=0"}</definedName>
    <definedName name="_1701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1702__FDSAUDITLINK__" hidden="1">{"fdsup://directions/FAT Viewer?action=UPDATE&amp;creator=factset&amp;DYN_ARGS=TRUE&amp;DOC_NAME=FAT:FQL_AUDITING_CLIENT_TEMPLATE.FAT&amp;display_string=Audit&amp;VAR:KEY=FATMJUVKRI&amp;VAR:QUERY=RkZfREVCVF9MVChRVFIsMzkwOTQsMzkwOTQp&amp;WINDOW=FIRST_POPUP&amp;HEIGHT=450&amp;WIDTH=450&amp;START_MA","XIMIZED=FALSE&amp;VAR:CALENDAR=FIVEDAY&amp;VAR:SYMBOL=455710&amp;VAR:INDEX=0"}</definedName>
    <definedName name="_1703__FDSAUDITLINK__" hidden="1">{"fdsup://directions/FAT Viewer?action=UPDATE&amp;creator=factset&amp;DYN_ARGS=TRUE&amp;DOC_NAME=FAT:FQL_AUDITING_CLIENT_TEMPLATE.FAT&amp;display_string=Audit&amp;VAR:KEY=RGNEVONKDS&amp;VAR:QUERY=RkZfREVCVF9MVChRVFIsMzkxMDEsMzkxMDEp&amp;WINDOW=FIRST_POPUP&amp;HEIGHT=450&amp;WIDTH=450&amp;START_MA","XIMIZED=FALSE&amp;VAR:CALENDAR=FIVEDAY&amp;VAR:SYMBOL=455710&amp;VAR:INDEX=0"}</definedName>
    <definedName name="_1704__FDSAUDITLINK__" hidden="1">{"fdsup://directions/FAT Viewer?action=UPDATE&amp;creator=factset&amp;DYN_ARGS=TRUE&amp;DOC_NAME=FAT:FQL_AUDITING_CLIENT_TEMPLATE.FAT&amp;display_string=Audit&amp;VAR:KEY=HCJGPGNCVC&amp;VAR:QUERY=RkZfREVCVF9MVChRVFIsMzkxMDgsMzkxMDgp&amp;WINDOW=FIRST_POPUP&amp;HEIGHT=450&amp;WIDTH=450&amp;START_MA","XIMIZED=FALSE&amp;VAR:CALENDAR=FIVEDAY&amp;VAR:SYMBOL=455710&amp;VAR:INDEX=0"}</definedName>
    <definedName name="_1705__FDSAUDITLINK__" hidden="1">{"fdsup://directions/FAT Viewer?action=UPDATE&amp;creator=factset&amp;DYN_ARGS=TRUE&amp;DOC_NAME=FAT:FQL_AUDITING_CLIENT_TEMPLATE.FAT&amp;display_string=Audit&amp;VAR:KEY=FIZUROVAPK&amp;VAR:QUERY=RkZfREVCVF9MVChRVFIsMzkxMTUsMzkxMTUp&amp;WINDOW=FIRST_POPUP&amp;HEIGHT=450&amp;WIDTH=450&amp;START_MA","XIMIZED=FALSE&amp;VAR:CALENDAR=FIVEDAY&amp;VAR:SYMBOL=455710&amp;VAR:INDEX=0"}</definedName>
    <definedName name="_1706__FDSAUDITLINK__" hidden="1">{"fdsup://directions/FAT Viewer?action=UPDATE&amp;creator=factset&amp;DYN_ARGS=TRUE&amp;DOC_NAME=FAT:FQL_AUDITING_CLIENT_TEMPLATE.FAT&amp;display_string=Audit&amp;VAR:KEY=JMXYPCHOXY&amp;VAR:QUERY=RkZfREVCVF9MVChRVFIsMzkxMjIsMzkxMjIp&amp;WINDOW=FIRST_POPUP&amp;HEIGHT=450&amp;WIDTH=450&amp;START_MA","XIMIZED=FALSE&amp;VAR:CALENDAR=FIVEDAY&amp;VAR:SYMBOL=455710&amp;VAR:INDEX=0"}</definedName>
    <definedName name="_1707__FDSAUDITLINK__" hidden="1">{"fdsup://directions/FAT Viewer?action=UPDATE&amp;creator=factset&amp;DYN_ARGS=TRUE&amp;DOC_NAME=FAT:FQL_AUDITING_CLIENT_TEMPLATE.FAT&amp;display_string=Audit&amp;VAR:KEY=PYNOPOHONM&amp;VAR:QUERY=RkZfREVCVF9MVChRVFIsMzkxMjksMzkxMjkp&amp;WINDOW=FIRST_POPUP&amp;HEIGHT=450&amp;WIDTH=450&amp;START_MA","XIMIZED=FALSE&amp;VAR:CALENDAR=FIVEDAY&amp;VAR:SYMBOL=455710&amp;VAR:INDEX=0"}</definedName>
    <definedName name="_1708__FDSAUDITLINK__" hidden="1">{"fdsup://directions/FAT Viewer?action=UPDATE&amp;creator=factset&amp;DYN_ARGS=TRUE&amp;DOC_NAME=FAT:FQL_AUDITING_CLIENT_TEMPLATE.FAT&amp;display_string=Audit&amp;VAR:KEY=HMXETORUXM&amp;VAR:QUERY=RkZfREVCVF9MVChRVFIsMzkxMzYsMzkxMzYp&amp;WINDOW=FIRST_POPUP&amp;HEIGHT=450&amp;WIDTH=450&amp;START_MA","XIMIZED=FALSE&amp;VAR:CALENDAR=FIVEDAY&amp;VAR:SYMBOL=455710&amp;VAR:INDEX=0"}</definedName>
    <definedName name="_1709__FDSAUDITLINK__" hidden="1">{"fdsup://directions/FAT Viewer?action=UPDATE&amp;creator=factset&amp;DYN_ARGS=TRUE&amp;DOC_NAME=FAT:FQL_AUDITING_CLIENT_TEMPLATE.FAT&amp;display_string=Audit&amp;VAR:KEY=LYPWLMXUTE&amp;VAR:QUERY=RkZfREVCVF9MVChRVFIsMzkxNDMsMzkxNDMp&amp;WINDOW=FIRST_POPUP&amp;HEIGHT=450&amp;WIDTH=450&amp;START_MA","XIMIZED=FALSE&amp;VAR:CALENDAR=FIVEDAY&amp;VAR:SYMBOL=455710&amp;VAR:INDEX=0"}</definedName>
    <definedName name="_171__FDSAUDITLINK__" hidden="1">{"fdsup://IBCentral/FAT Viewer?action=UPDATE&amp;creator=factset&amp;DOC_NAME=fat:reuters_annual_pshs_src_window.fat&amp;display_string=Audit&amp;DYN_ARGS=TRUE&amp;VAR:ID1=58155Q10&amp;VAR:RCODE=FDSEPS&amp;VAR:SDATE=20010399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10__FDSAUDITLINK__" hidden="1">{"fdsup://directions/FAT Viewer?action=UPDATE&amp;creator=factset&amp;DYN_ARGS=TRUE&amp;DOC_NAME=FAT:FQL_AUDITING_CLIENT_TEMPLATE.FAT&amp;display_string=Audit&amp;VAR:KEY=RGPGZQDEJY&amp;VAR:QUERY=RkZfREVCVF9MVChRVFIsMzkxNTAsMzkxNTAp&amp;WINDOW=FIRST_POPUP&amp;HEIGHT=450&amp;WIDTH=450&amp;START_MA","XIMIZED=FALSE&amp;VAR:CALENDAR=FIVEDAY&amp;VAR:SYMBOL=455710&amp;VAR:INDEX=0"}</definedName>
    <definedName name="_1711__FDSAUDITLINK__" hidden="1">{"fdsup://directions/FAT Viewer?action=UPDATE&amp;creator=factset&amp;DYN_ARGS=TRUE&amp;DOC_NAME=FAT:FQL_AUDITING_CLIENT_TEMPLATE.FAT&amp;display_string=Audit&amp;VAR:KEY=LARETCNMJM&amp;VAR:QUERY=RkZfREVCVF9MVChRVFIsMzkxNTcsMzkxNTcp&amp;WINDOW=FIRST_POPUP&amp;HEIGHT=450&amp;WIDTH=450&amp;START_MA","XIMIZED=FALSE&amp;VAR:CALENDAR=FIVEDAY&amp;VAR:SYMBOL=455710&amp;VAR:INDEX=0"}</definedName>
    <definedName name="_1712__FDSAUDITLINK__" hidden="1">{"fdsup://directions/FAT Viewer?action=UPDATE&amp;creator=factset&amp;DYN_ARGS=TRUE&amp;DOC_NAME=FAT:FQL_AUDITING_CLIENT_TEMPLATE.FAT&amp;display_string=Audit&amp;VAR:KEY=FSNYLYZCFA&amp;VAR:QUERY=RkZfREVCVF9MVChRVFIsMzkxNjQsMzkxNjQp&amp;WINDOW=FIRST_POPUP&amp;HEIGHT=450&amp;WIDTH=450&amp;START_MA","XIMIZED=FALSE&amp;VAR:CALENDAR=FIVEDAY&amp;VAR:SYMBOL=455710&amp;VAR:INDEX=0"}</definedName>
    <definedName name="_1713__FDSAUDITLINK__" hidden="1">{"fdsup://directions/FAT Viewer?action=UPDATE&amp;creator=factset&amp;DYN_ARGS=TRUE&amp;DOC_NAME=FAT:FQL_AUDITING_CLIENT_TEMPLATE.FAT&amp;display_string=Audit&amp;VAR:KEY=FAJOBKFADS&amp;VAR:QUERY=RkZfREVCVF9MVChRVFIsMzkxNzEsMzkxNzEp&amp;WINDOW=FIRST_POPUP&amp;HEIGHT=450&amp;WIDTH=450&amp;START_MA","XIMIZED=FALSE&amp;VAR:CALENDAR=FIVEDAY&amp;VAR:SYMBOL=455710&amp;VAR:INDEX=0"}</definedName>
    <definedName name="_1714__FDSAUDITLINK__" hidden="1">{"fdsup://Directions/FactSet Auditing Viewer?action=AUDIT_VALUE&amp;DB=129&amp;ID1=455710&amp;VALUEID=03051&amp;SDATE=200701&amp;PERIODTYPE=QTR_STD&amp;window=popup_no_bar&amp;width=385&amp;height=120&amp;START_MAXIMIZED=FALSE&amp;creator=factset&amp;display_string=Audit"}</definedName>
    <definedName name="_1715__FDSAUDITLINK__" hidden="1">{"fdsup://directions/FAT Viewer?action=UPDATE&amp;creator=factset&amp;DYN_ARGS=TRUE&amp;DOC_NAME=FAT:FQL_AUDITING_CLIENT_TEMPLATE.FAT&amp;display_string=Audit&amp;VAR:KEY=TSLUHKPQXI&amp;VAR:QUERY=RkZfREVCVF9MVChRVFIsMzkxNzgsMzkxNzgp&amp;WINDOW=FIRST_POPUP&amp;HEIGHT=450&amp;WIDTH=450&amp;START_MA","XIMIZED=FALSE&amp;VAR:CALENDAR=FIVEDAY&amp;VAR:SYMBOL=455710&amp;VAR:INDEX=0"}</definedName>
    <definedName name="_1716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1717__FDSAUDITLINK__" hidden="1">{"fdsup://directions/FAT Viewer?action=UPDATE&amp;creator=factset&amp;DYN_ARGS=TRUE&amp;DOC_NAME=FAT:FQL_AUDITING_CLIENT_TEMPLATE.FAT&amp;display_string=Audit&amp;VAR:KEY=HKNWVOFGTY&amp;VAR:QUERY=RkZfREVCVF9MVChRVFIsMzkyNjksMzkyNjkp&amp;WINDOW=FIRST_POPUP&amp;HEIGHT=450&amp;WIDTH=450&amp;START_MA","XIMIZED=FALSE&amp;VAR:CALENDAR=FIVEDAY&amp;VAR:SYMBOL=455710&amp;VAR:INDEX=0"}</definedName>
    <definedName name="_1718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LGNILYBOJS&amp;VAR:QUERY=RkZfREVCVF9MVChRVFIsMzkzNjAsMzkzNjAp&amp;WINDOW=FIRST_POPUP&amp;HEIGHT=450&amp;WIDTH=450&amp;START_MA","XIMIZED=FALSE&amp;VAR:CALENDAR=FIVEDAY&amp;VAR:SYMBOL=455710&amp;VAR:INDEX=0"}</definedName>
    <definedName name="_172__FDSAUDITLINK__" hidden="1">{"fdsup://IBCentral/FAT Viewer?action=UPDATE&amp;creator=factset&amp;DOC_NAME=fat:reuters_annual_pshs_src_window.fat&amp;display_string=Audit&amp;DYN_ARGS=TRUE&amp;VAR:ID1=58155Q10&amp;VAR:RCODE=FDSEPS&amp;VAR:SDATE=20000399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20__FDSAUDITLINK__" hidden="1">{"fdsup://Directions/FactSet Auditing Viewer?action=AUDIT_VALUE&amp;DB=129&amp;ID1=455710&amp;VALUEID=03051&amp;SDATE=200801&amp;PERIODTYPE=QTR_STD&amp;window=popup_no_bar&amp;width=385&amp;height=120&amp;START_MAXIMIZED=FALSE&amp;creator=factset&amp;display_string=Audit"}</definedName>
    <definedName name="_1721__FDSAUDITLINK__" hidden="1">{"fdsup://directions/FAT Viewer?action=UPDATE&amp;creator=factset&amp;DYN_ARGS=TRUE&amp;DOC_NAME=FAT:FQL_AUDITING_CLIENT_TEMPLATE.FAT&amp;display_string=Audit&amp;VAR:KEY=FYTWNURWPS&amp;VAR:QUERY=RkZfREVCVF9MVChRVFIsMzk1NDIsMzk1NDIp&amp;WINDOW=FIRST_POPUP&amp;HEIGHT=450&amp;WIDTH=450&amp;START_MA","XIMIZED=FALSE&amp;VAR:CALENDAR=FIVEDAY&amp;VAR:SYMBOL=455710&amp;VAR:INDEX=0"}</definedName>
    <definedName name="_1722__FDSAUDITLINK__" hidden="1">{"fdsup://Directions/FactSet Auditing Viewer?action=AUDIT_VALUE&amp;DB=129&amp;ID1=455710&amp;VALUEID=03051&amp;SDATE=200802&amp;PERIODTYPE=QTR_STD&amp;window=popup_no_bar&amp;width=385&amp;height=120&amp;START_MAXIMIZED=FALSE&amp;creator=factset&amp;display_string=Audit"}</definedName>
    <definedName name="_1723__FDSAUDITLINK__" hidden="1">{"fdsup://directions/FAT Viewer?action=UPDATE&amp;creator=factset&amp;DYN_ARGS=TRUE&amp;DOC_NAME=FAT:FQL_AUDITING_CLIENT_TEMPLATE.FAT&amp;display_string=Audit&amp;VAR:KEY=REXGJOJYRW&amp;VAR:QUERY=RkZfREVCVF9MVChRVFIsMzk2MzMsMzk2MzMp&amp;WINDOW=FIRST_POPUP&amp;HEIGHT=450&amp;WIDTH=450&amp;START_MA","XIMIZED=FALSE&amp;VAR:CALENDAR=FIVEDAY&amp;VAR:SYMBOL=455710&amp;VAR:INDEX=0"}</definedName>
    <definedName name="_1724__FDSAUDITLINK__" hidden="1">{"fdsup://directions/FAT Viewer?action=UPDATE&amp;creator=factset&amp;DYN_ARGS=TRUE&amp;DOC_NAME=FAT:FQL_AUDITING_CLIENT_TEMPLATE.FAT&amp;display_string=Audit&amp;VAR:KEY=DUNQXCDQDM&amp;VAR:QUERY=RkZfREVCVF9MVChRVFIsMzk3MjQsMzk3MjQp&amp;WINDOW=FIRST_POPUP&amp;HEIGHT=450&amp;WIDTH=450&amp;START_MA","XIMIZED=FALSE&amp;VAR:CALENDAR=FIVEDAY&amp;VAR:SYMBOL=455710&amp;VAR:INDEX=0"}</definedName>
    <definedName name="_1725__FDSAUDITLINK__" hidden="1">{"fdsup://Directions/FactSet Auditing Viewer?action=AUDIT_VALUE&amp;DB=129&amp;ID1=455710&amp;VALUEID=03051&amp;SDATE=200901&amp;PERIODTYPE=QTR_STD&amp;window=popup_no_bar&amp;width=385&amp;height=120&amp;START_MAXIMIZED=FALSE&amp;creator=factset&amp;display_string=Audit"}</definedName>
    <definedName name="_1726__FDSAUDITLINK__" hidden="1">{"fdsup://directions/FAT Viewer?action=UPDATE&amp;creator=factset&amp;DYN_ARGS=TRUE&amp;DOC_NAME=FAT:FQL_AUDITING_CLIENT_TEMPLATE.FAT&amp;display_string=Audit&amp;VAR:KEY=LGTIRGTCRC&amp;VAR:QUERY=RkZfREVCVF9MVChRVFIsMzk5MDYsMzk5MDYp&amp;WINDOW=FIRST_POPUP&amp;HEIGHT=450&amp;WIDTH=450&amp;START_MA","XIMIZED=FALSE&amp;VAR:CALENDAR=FIVEDAY&amp;VAR:SYMBOL=455710&amp;VAR:INDEX=0"}</definedName>
    <definedName name="_1727__FDSAUDITLINK__" hidden="1">{"fdsup://Directions/FactSet Auditing Viewer?action=AUDIT_VALUE&amp;DB=129&amp;ID1=455710&amp;VALUEID=03051&amp;SDATE=200902&amp;PERIODTYPE=QTR_STD&amp;window=popup_no_bar&amp;width=385&amp;height=120&amp;START_MAXIMIZED=FALSE&amp;creator=factset&amp;display_string=Audit"}</definedName>
    <definedName name="_1728__FDSAUDITLINK__" hidden="1">{"fdsup://directions/FAT Viewer?action=UPDATE&amp;creator=factset&amp;DYN_ARGS=TRUE&amp;DOC_NAME=FAT:FQL_AUDITING_CLIENT_TEMPLATE.FAT&amp;display_string=Audit&amp;VAR:KEY=FMJYNSRKRQ&amp;VAR:QUERY=RkZfREVCVF9MVChRVFIsMzk5OTcsMzk5OTcp&amp;WINDOW=FIRST_POPUP&amp;HEIGHT=450&amp;WIDTH=450&amp;START_MA","XIMIZED=FALSE&amp;VAR:CALENDAR=FIVEDAY&amp;VAR:SYMBOL=455710&amp;VAR:INDEX=0"}</definedName>
    <definedName name="_1729__FDSAUDITLINK__" hidden="1">{"fdsup://directions/FAT Viewer?action=UPDATE&amp;creator=factset&amp;DYN_ARGS=TRUE&amp;DOC_NAME=FAT:FQL_AUDITING_CLIENT_TEMPLATE.FAT&amp;display_string=Audit&amp;VAR:KEY=PEDIZGZGVQ&amp;VAR:QUERY=RkZfREVCVF9MVChRVFIsNDAwODgsNDAwODgp&amp;WINDOW=FIRST_POPUP&amp;HEIGHT=450&amp;WIDTH=450&amp;START_MA","XIMIZED=FALSE&amp;VAR:CALENDAR=FIVEDAY&amp;VAR:SYMBOL=455710&amp;VAR:INDEX=0"}</definedName>
    <definedName name="_173__FDSAUDITLINK__" hidden="1">{"fdsup://IBCentral/FAT Viewer?action=UPDATE&amp;creator=factset&amp;DOC_NAME=fat:reuters_annual_pshs_src_window.fat&amp;display_string=Audit&amp;DYN_ARGS=TRUE&amp;VAR:ID1=58155Q10&amp;VAR:RCODE=FDSEPS&amp;VAR:SDATE=19990399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PMHKTAFSFY&amp;VAR:QUERY=RkZfREVCVF9MVChRVFIsNDAyNDksNDAyNDkp&amp;WINDOW=FIRST_POPUP&amp;HEIGHT=450&amp;WIDTH=450&amp;START_MA","XIMIZED=FALSE&amp;VAR:CALENDAR=FIVEDAY&amp;VAR:SYMBOL=455710&amp;VAR:INDEX=0"}</definedName>
    <definedName name="_1731__FDSAUDITLINK__" hidden="1">{"fdsup://directions/FAT Viewer?action=UPDATE&amp;creator=factset&amp;DYN_ARGS=TRUE&amp;DOC_NAME=FAT:FQL_AUDITING_CLIENT_TEMPLATE.FAT&amp;display_string=Audit&amp;VAR:KEY=RIRSFUVQZW&amp;VAR:QUERY=RkZfREVCVF9MVChRVFIsNDAyNDIsNDAyNDIp&amp;WINDOW=FIRST_POPUP&amp;HEIGHT=450&amp;WIDTH=450&amp;START_MA","XIMIZED=FALSE&amp;VAR:CALENDAR=FIVEDAY&amp;VAR:SYMBOL=455710&amp;VAR:INDEX=0"}</definedName>
    <definedName name="_1732__FDSAUDITLINK__" hidden="1">{"fdsup://directions/FAT Viewer?action=UPDATE&amp;creator=factset&amp;DYN_ARGS=TRUE&amp;DOC_NAME=FAT:FQL_AUDITING_CLIENT_TEMPLATE.FAT&amp;display_string=Audit&amp;VAR:KEY=FKTKFKNWNW&amp;VAR:QUERY=RkZfREVCVF9MVChRVFIsNDAyMzUsNDAyMzUp&amp;WINDOW=FIRST_POPUP&amp;HEIGHT=450&amp;WIDTH=450&amp;START_MA","XIMIZED=FALSE&amp;VAR:CALENDAR=FIVEDAY&amp;VAR:SYMBOL=455710&amp;VAR:INDEX=0"}</definedName>
    <definedName name="_1733__FDSAUDITLINK__" hidden="1">{"fdsup://directions/FAT Viewer?action=UPDATE&amp;creator=factset&amp;DYN_ARGS=TRUE&amp;DOC_NAME=FAT:FQL_AUDITING_CLIENT_TEMPLATE.FAT&amp;display_string=Audit&amp;VAR:KEY=XANAZCFOJY&amp;VAR:QUERY=RkZfREVCVF9MVChRVFIsNDAyMjgsNDAyMjgp&amp;WINDOW=FIRST_POPUP&amp;HEIGHT=450&amp;WIDTH=450&amp;START_MA","XIMIZED=FALSE&amp;VAR:CALENDAR=FIVEDAY&amp;VAR:SYMBOL=455710&amp;VAR:INDEX=0"}</definedName>
    <definedName name="_1734__FDSAUDITLINK__" hidden="1">{"fdsup://directions/FAT Viewer?action=UPDATE&amp;creator=factset&amp;DYN_ARGS=TRUE&amp;DOC_NAME=FAT:FQL_AUDITING_CLIENT_TEMPLATE.FAT&amp;display_string=Audit&amp;VAR:KEY=BEZELKHGRK&amp;VAR:QUERY=RkZfREVCVF9MVChRVFIsNDAyMjEsNDAyMjEp&amp;WINDOW=FIRST_POPUP&amp;HEIGHT=450&amp;WIDTH=450&amp;START_MA","XIMIZED=FALSE&amp;VAR:CALENDAR=FIVEDAY&amp;VAR:SYMBOL=455710&amp;VAR:INDEX=0"}</definedName>
    <definedName name="_1735__FDSAUDITLINK__" hidden="1">{"fdsup://directions/FAT Viewer?action=UPDATE&amp;creator=factset&amp;DYN_ARGS=TRUE&amp;DOC_NAME=FAT:FQL_AUDITING_CLIENT_TEMPLATE.FAT&amp;display_string=Audit&amp;VAR:KEY=TWXCXQNWZQ&amp;VAR:QUERY=RkZfREVCVF9MVChRVFIsNDAyMTQsNDAyMTQp&amp;WINDOW=FIRST_POPUP&amp;HEIGHT=450&amp;WIDTH=450&amp;START_MA","XIMIZED=FALSE&amp;VAR:CALENDAR=FIVEDAY&amp;VAR:SYMBOL=455710&amp;VAR:INDEX=0"}</definedName>
    <definedName name="_1736__FDSAUDITLINK__" hidden="1">{"fdsup://directions/FAT Viewer?action=UPDATE&amp;creator=factset&amp;DYN_ARGS=TRUE&amp;DOC_NAME=FAT:FQL_AUDITING_CLIENT_TEMPLATE.FAT&amp;display_string=Audit&amp;VAR:KEY=HEPGRQVCZO&amp;VAR:QUERY=RkZfREVCVF9MVChRVFIsNDAyMDcsNDAyMDcp&amp;WINDOW=FIRST_POPUP&amp;HEIGHT=450&amp;WIDTH=450&amp;START_MA","XIMIZED=FALSE&amp;VAR:CALENDAR=FIVEDAY&amp;VAR:SYMBOL=455710&amp;VAR:INDEX=0"}</definedName>
    <definedName name="_1737__FDSAUDITLINK__" hidden="1">{"fdsup://directions/FAT Viewer?action=UPDATE&amp;creator=factset&amp;DYN_ARGS=TRUE&amp;DOC_NAME=FAT:FQL_AUDITING_CLIENT_TEMPLATE.FAT&amp;display_string=Audit&amp;VAR:KEY=VUZUDYNEDW&amp;VAR:QUERY=RkZfREVCVF9MVChRVFIsNDAyMDAsNDAyMDAp&amp;WINDOW=FIRST_POPUP&amp;HEIGHT=450&amp;WIDTH=450&amp;START_MA","XIMIZED=FALSE&amp;VAR:CALENDAR=FIVEDAY&amp;VAR:SYMBOL=455710&amp;VAR:INDEX=0"}</definedName>
    <definedName name="_1738__FDSAUDITLINK__" hidden="1">{"fdsup://directions/FAT Viewer?action=UPDATE&amp;creator=factset&amp;DYN_ARGS=TRUE&amp;DOC_NAME=FAT:FQL_AUDITING_CLIENT_TEMPLATE.FAT&amp;display_string=Audit&amp;VAR:KEY=LGVOJULCBG&amp;VAR:QUERY=RkZfREVCVF9MVChRVFIsNDAxOTMsNDAxOTMp&amp;WINDOW=FIRST_POPUP&amp;HEIGHT=450&amp;WIDTH=450&amp;START_MA","XIMIZED=FALSE&amp;VAR:CALENDAR=FIVEDAY&amp;VAR:SYMBOL=455710&amp;VAR:INDEX=0"}</definedName>
    <definedName name="_1739__FDSAUDITLINK__" hidden="1">{"fdsup://directions/FAT Viewer?action=UPDATE&amp;creator=factset&amp;DYN_ARGS=TRUE&amp;DOC_NAME=FAT:FQL_AUDITING_CLIENT_TEMPLATE.FAT&amp;display_string=Audit&amp;VAR:KEY=NEVOTQXKJS&amp;VAR:QUERY=RkZfREVCVF9MVChRVFIsNDAxODYsNDAxODYp&amp;WINDOW=FIRST_POPUP&amp;HEIGHT=450&amp;WIDTH=450&amp;START_MA","XIMIZED=FALSE&amp;VAR:CALENDAR=FIVEDAY&amp;VAR:SYMBOL=455710&amp;VAR:INDEX=0"}</definedName>
    <definedName name="_174__FDSAUDITLINK__" hidden="1">{"fdsup://IBCentral/FAT Viewer?action=UPDATE&amp;creator=factset&amp;DOC_NAME=fat:reuters_annual_pshs_src_window.fat&amp;display_string=Audit&amp;DYN_ARGS=TRUE&amp;VAR:ID1=76775410&amp;VAR:RCODE=FDSEPS&amp;VAR:SDATE=20090299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4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4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4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annual_pshs_src_window.fat&amp;display_string=Audit&amp;DYN_ARGS=TRUE&amp;VAR:ID1=76775410&amp;VAR:RCODE=FDSEPS&amp;VAR:SDATE=20080299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5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5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5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annual_pshs_src_window.fat&amp;display_string=Audit&amp;DYN_ARGS=TRUE&amp;VAR:ID1=76775410&amp;VAR:RCODE=FDSEPS&amp;VAR:SDATE=20070299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6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6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6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annual_pshs_src_window.fat&amp;display_string=Audit&amp;DYN_ARGS=TRUE&amp;VAR:ID1=76775410&amp;VAR:RCODE=FDSEPS&amp;VAR:SDATE=20060299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7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7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7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__FDSAUDITLINK__" hidden="1">{"fdsup://IBCentral/FAT Viewer?action=UPDATE&amp;creator=factset&amp;DOC_NAME=fat:reuters_annual_pshs_src_window.fat&amp;display_string=Audit&amp;DYN_ARGS=TRUE&amp;VAR:ID1=76775410&amp;VAR:RCODE=FDSEPS&amp;VAR:SDATE=20050299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8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8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8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__FDSAUDITLINK__" hidden="1">{"fdsup://IBCentral/FAT Viewer?action=UPDATE&amp;creator=factset&amp;DOC_NAME=fat:reuters_annual_pshs_src_window.fat&amp;display_string=Audit&amp;DYN_ARGS=TRUE&amp;VAR:ID1=76775410&amp;VAR:RCODE=FDSEPS&amp;VAR:SDATE=20040299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9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9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9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annual_source_window.fat&amp;display_string=Audit&amp;DYN_ARGS=TRUE&amp;VAR:ID1=03073E10&amp;VAR:RCODE=FCDP&amp;VAR:SDATE=20010999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annual_pshs_src_window.fat&amp;display_string=Audit&amp;DYN_ARGS=TRUE&amp;VAR:ID1=76775410&amp;VAR:RCODE=FDSEPS&amp;VAR:SDATE=20030299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0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0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0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annual_pshs_src_window.fat&amp;display_string=Audit&amp;DYN_ARGS=TRUE&amp;VAR:ID1=76775410&amp;VAR:RCODE=FDSEPS&amp;VAR:SDATE=20020299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1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1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1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annual_pshs_src_window.fat&amp;display_string=Audit&amp;DYN_ARGS=TRUE&amp;VAR:ID1=76775410&amp;VAR:RCODE=FDSEPS&amp;VAR:SDATE=20010299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2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2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2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annual_pshs_src_window.fat&amp;display_string=Audit&amp;DYN_ARGS=TRUE&amp;VAR:ID1=76775410&amp;VAR:RCODE=FDSEPS&amp;VAR:SDATE=20000299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3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3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3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annual_pshs_src_window.fat&amp;display_string=Audit&amp;DYN_ARGS=TRUE&amp;VAR:ID1=76775410&amp;VAR:RCODE=FDSEPS&amp;VAR:SDATE=19990299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4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4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4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annual_pshs_src_window.fat&amp;display_string=Audit&amp;DYN_ARGS=TRUE&amp;VAR:ID1=93142210&amp;VAR:RCODE=FDSEPS&amp;VAR:SDATE=20080899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5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5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5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__FDSAUDITLINK__" hidden="1">{"fdsup://IBCentral/FAT Viewer?action=UPDATE&amp;creator=factset&amp;DOC_NAME=fat:reuters_annual_pshs_src_window.fat&amp;display_string=Audit&amp;DYN_ARGS=TRUE&amp;VAR:ID1=93142210&amp;VAR:RCODE=FDSEPS&amp;VAR:SDATE=20070899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6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6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6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annual_pshs_src_window.fat&amp;display_string=Audit&amp;DYN_ARGS=TRUE&amp;VAR:ID1=93142210&amp;VAR:RCODE=FDSEPS&amp;VAR:SDATE=20060899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7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7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7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annual_pshs_src_window.fat&amp;display_string=Audit&amp;DYN_ARGS=TRUE&amp;VAR:ID1=93142210&amp;VAR:RCODE=FDSEPS&amp;VAR:SDATE=20050899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8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8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8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annual_pshs_src_window.fat&amp;display_string=Audit&amp;DYN_ARGS=TRUE&amp;VAR:ID1=93142210&amp;VAR:RCODE=FDSEPS&amp;VAR:SDATE=20040899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9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9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9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annual_source_window.fat&amp;display_string=Audit&amp;DYN_ARGS=TRUE&amp;VAR:ID1=03073E10&amp;VAR:RCODE=FCDP&amp;VAR:SDATE=20000999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annual_pshs_src_window.fat&amp;display_string=Audit&amp;DYN_ARGS=TRUE&amp;VAR:ID1=93142210&amp;VAR:RCODE=FDSEPS&amp;VAR:SDATE=20030899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0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0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0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annual_pshs_src_window.fat&amp;display_string=Audit&amp;DYN_ARGS=TRUE&amp;VAR:ID1=93142210&amp;VAR:RCODE=FDSEPS&amp;VAR:SDATE=20020899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1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1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1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annual_pshs_src_window.fat&amp;display_string=Audit&amp;DYN_ARGS=TRUE&amp;VAR:ID1=93142210&amp;VAR:RCODE=FDSEPS&amp;VAR:SDATE=20010899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2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2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2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annual_pshs_src_window.fat&amp;display_string=Audit&amp;DYN_ARGS=TRUE&amp;VAR:ID1=93142210&amp;VAR:RCODE=FDSEPS&amp;VAR:SDATE=20000899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3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3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3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annual_pshs_src_window.fat&amp;display_string=Audit&amp;DYN_ARGS=TRUE&amp;VAR:ID1=93142210&amp;VAR:RCODE=FDSEPS&amp;VAR:SDATE=19990899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4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4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4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annual_pshs_src_window.fat&amp;display_string=Audit&amp;DYN_ARGS=TRUE&amp;VAR:ID1=12665010&amp;VAR:RCODE=FDSEPS&amp;VAR:SDATE=20081299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5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5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5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__FDSAUDITLINK__" hidden="1">{"fdsup://IBCentral/FAT Viewer?action=UPDATE&amp;creator=factset&amp;DOC_NAME=fat:reuters_annual_pshs_src_window.fat&amp;display_string=Audit&amp;DYN_ARGS=TRUE&amp;VAR:ID1=12665010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6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6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6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annual_pshs_src_window.fat&amp;display_string=Audit&amp;DYN_ARGS=TRUE&amp;VAR:ID1=12665010&amp;VAR:RCODE=FDSEPS&amp;VAR:SDATE=20061299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7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7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7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annual_pshs_src_window.fat&amp;display_string=Audit&amp;DYN_ARGS=TRUE&amp;VAR:ID1=12665010&amp;VAR:RCODE=FDSEPS&amp;VAR:SDATE=20051299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8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8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annual_pshs_src_window.fat&amp;display_string=Audit&amp;DYN_ARGS=TRUE&amp;VAR:ID1=12665010&amp;VAR:RCODE=FDSEPS&amp;VAR:SDATE=20041299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9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9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9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03073E10&amp;VAR:RCODE=FCDP&amp;VAR:SDATE=19990999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pshs_src_window.fat&amp;display_string=Audit&amp;DYN_ARGS=TRUE&amp;VAR:ID1=12665010&amp;VAR:RCODE=FDSEPS&amp;VAR:SDATE=20031299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0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0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0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annual_pshs_src_window.fat&amp;display_string=Audit&amp;DYN_ARGS=TRUE&amp;VAR:ID1=12665010&amp;VAR:RCODE=FDSEPS&amp;VAR:SDATE=20021299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1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1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1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annual_pshs_src_window.fat&amp;display_string=Audit&amp;DYN_ARGS=TRUE&amp;VAR:ID1=12665010&amp;VAR:RCODE=FDSEPS&amp;VAR:SDATE=20011299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2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2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2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annual_pshs_src_window.fat&amp;display_string=Audit&amp;DYN_ARGS=TRUE&amp;VAR:ID1=12665010&amp;VAR:RCODE=FDSEPS&amp;VAR:SDATE=20001299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3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3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3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annual_pshs_src_window.fat&amp;display_string=Audit&amp;DYN_ARGS=TRUE&amp;VAR:ID1=12665010&amp;VAR:RCODE=FDSEPS&amp;VAR:SDATE=19991299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4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4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4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annual_pshs_src_window.fat&amp;display_string=Audit&amp;DYN_ARGS=TRUE&amp;VAR:ID1=510518&amp;VAR:RCODE=FDSEPS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5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5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5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annual_pshs_src_window.fat&amp;display_string=Audit&amp;DYN_ARGS=TRUE&amp;VAR:ID1=510518&amp;VAR:RCODE=FDSEPS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6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6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6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pshs_src_window.fat&amp;display_string=Audit&amp;DYN_ARGS=TRUE&amp;VAR:ID1=510518&amp;VAR:RCODE=FDSEPS&amp;VAR:SDATE=20061299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7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7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annual_pshs_src_window.fat&amp;display_string=Audit&amp;DYN_ARGS=TRUE&amp;VAR:ID1=510518&amp;VAR:RCODE=FDSEPS&amp;VAR:SDATE=20051299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8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8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8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annual_pshs_src_window.fat&amp;display_string=Audit&amp;DYN_ARGS=TRUE&amp;VAR:ID1=510518&amp;VAR:RCODE=FDSEPS&amp;VAR:SDATE=20041299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9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9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9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hs_src_window.fat&amp;display_string=Audit&amp;DYN_ARGS=TRUE&amp;VAR:ID1=14149Y10&amp;VAR:RCODE=FDSSHSOUTDEPS&amp;VAR:SDATE=20080699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pshs_src_window.fat&amp;display_string=Audit&amp;DYN_ARGS=TRUE&amp;VAR:ID1=510518&amp;VAR:RCODE=FDSEPS&amp;VAR:SDATE=20031299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10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10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annual_pshs_src_window.fat&amp;display_string=Audit&amp;DYN_ARGS=TRUE&amp;VAR:ID1=510518&amp;VAR:RCODE=FDSEPS&amp;VAR:SDATE=20021299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1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3__FDSAUDITLINK__" hidden="1">{"fdsup://directions/FAT Viewer?action=UPDATE&amp;creator=factset&amp;DYN_ARGS=TRUE&amp;DOC_NAME=FAT:FQL_AUDITING_CLIENT_TEMPLATE.FAT&amp;display_string=Audit&amp;VAR:KEY=AVEPUXAXCX&amp;VAR:QUERY=RkVfVkFMVUFUSU9OKCdFVicsJ01FRCcsJ0xUTUEnLCcnLE5PVywsLCcnKQ==&amp;WINDOW=FIRST_POPUP&amp;HEIGH","T=450&amp;WIDTH=450&amp;START_MAXIMIZED=FALSE&amp;VAR:CALENDAR=FIVEDAY&amp;VAR:SYMBOL=B1323K&amp;VAR:INDEX=0"}</definedName>
    <definedName name="_212__FDSAUDITLINK__" hidden="1">{"fdsup://IBCentral/FAT Viewer?action=UPDATE&amp;creator=factset&amp;DOC_NAME=fat:reuters_annual_pshs_src_window.fat&amp;display_string=Audit&amp;DYN_ARGS=TRUE&amp;VAR:ID1=510518&amp;VAR:RCODE=FDSEPS&amp;VAR:SDATE=20011299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annual_pshs_src_window.fat&amp;display_string=Audit&amp;DYN_ARGS=TRUE&amp;VAR:ID1=510518&amp;VAR:RCODE=FDSEPS&amp;VAR:SDATE=20001299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annual_pshs_src_window.fat&amp;display_string=Audit&amp;DYN_ARGS=TRUE&amp;VAR:ID1=510518&amp;VAR:RCODE=FDSEPS&amp;VAR:SDATE=19991299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annual_shs_src_window.fat&amp;display_string=Audit&amp;DYN_ARGS=TRUE&amp;VAR:ID1=510518&amp;VAR:RCODE=FDSSHSOUTDEPS&amp;VAR:SDATE=20001299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annual_shs_src_window.fat&amp;display_string=Audit&amp;DYN_ARGS=TRUE&amp;VAR:ID1=510518&amp;VAR:RCODE=FDSSHSOUTDEPS&amp;VAR:SDATE=19991299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17__FDSAUDITLINK__" hidden="1">{"fdsup://directions/FAT Viewer?action=UPDATE&amp;creator=factset&amp;DYN_ARGS=TRUE&amp;DOC_NAME=FAT:FQL_AUDITING_CLIENT_TEMPLATE.FAT&amp;display_string=Audit&amp;VAR:KEY=BGVCVKVGBU&amp;VAR:QUERY=RkZfREVCVF9MVChTRU1JLDM5MDI0LDM5MDI0KQ==&amp;WINDOW=FIRST_POPUP&amp;HEIGHT=450&amp;WIDTH=450&amp;STAR","T_MAXIMIZED=FALSE&amp;VAR:CALENDAR=FIVEDAY&amp;VAR:SYMBOL=456486&amp;VAR:INDEX=0"}</definedName>
    <definedName name="_218__FDSAUDITLINK__" hidden="1">{"fdsup://directions/FAT Viewer?action=UPDATE&amp;creator=factset&amp;DYN_ARGS=TRUE&amp;DOC_NAME=FAT:FQL_AUDITING_CLIENT_TEMPLATE.FAT&amp;display_string=Audit&amp;VAR:KEY=DKHSFEJGFS&amp;VAR:QUERY=RkZfREVCVF9MVChTRU1JLDQwMTE2LDQwMTE2KQ==&amp;WINDOW=FIRST_POPUP&amp;HEIGHT=450&amp;WIDTH=450&amp;STAR","T_MAXIMIZED=FALSE&amp;VAR:CALENDAR=FIVEDAY&amp;VAR:SYMBOL=456486&amp;VAR:INDEX=0"}</definedName>
    <definedName name="_219__FDSAUDITLINK__" hidden="1">{"fdsup://directions/FAT Viewer?action=UPDATE&amp;creator=factset&amp;DYN_ARGS=TRUE&amp;DOC_NAME=FAT:FQL_AUDITING_CLIENT_TEMPLATE.FAT&amp;display_string=Audit&amp;VAR:KEY=LKJKLOTANU&amp;VAR:QUERY=RkZfREVCVF9MVChTRU1JLDQwMTA5LDQwMTA5KQ==&amp;WINDOW=FIRST_POPUP&amp;HEIGHT=450&amp;WIDTH=450&amp;STAR","T_MAXIMIZED=FALSE&amp;VAR:CALENDAR=FIVEDAY&amp;VAR:SYMBOL=456486&amp;VAR:INDEX=0"}</definedName>
    <definedName name="_22__FDSAUDITLINK__" hidden="1">{"fdsup://IBCentral/FAT Viewer?action=UPDATE&amp;creator=factset&amp;DOC_NAME=fat:reuters_annual_shs_src_window.fat&amp;display_string=Audit&amp;DYN_ARGS=TRUE&amp;VAR:ID1=14149Y10&amp;VAR:RCODE=FDSSHSOUTDEPS&amp;VAR:SDATE=20070699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20__FDSAUDITLINK__" hidden="1">{"fdsup://directions/FAT Viewer?action=UPDATE&amp;creator=factset&amp;DYN_ARGS=TRUE&amp;DOC_NAME=FAT:FQL_AUDITING_CLIENT_TEMPLATE.FAT&amp;display_string=Audit&amp;VAR:KEY=TSNWBUTILO&amp;VAR:QUERY=RkZfREVCVF9MVChTRU1JLDQwMTAyLDQwMTAyKQ==&amp;WINDOW=FIRST_POPUP&amp;HEIGHT=450&amp;WIDTH=450&amp;STAR","T_MAXIMIZED=FALSE&amp;VAR:CALENDAR=FIVEDAY&amp;VAR:SYMBOL=456486&amp;VAR:INDEX=0"}</definedName>
    <definedName name="_221__FDSAUDITLINK__" hidden="1">{"fdsup://directions/FAT Viewer?action=UPDATE&amp;creator=factset&amp;DYN_ARGS=TRUE&amp;DOC_NAME=FAT:FQL_AUDITING_CLIENT_TEMPLATE.FAT&amp;display_string=Audit&amp;VAR:KEY=VEPYLQBGXI&amp;VAR:QUERY=RkZfREVCVF9MVChTRU1JLDQwMDk1LDQwMDk1KQ==&amp;WINDOW=FIRST_POPUP&amp;HEIGHT=450&amp;WIDTH=450&amp;STAR","T_MAXIMIZED=FALSE&amp;VAR:CALENDAR=FIVEDAY&amp;VAR:SYMBOL=456486&amp;VAR:INDEX=0"}</definedName>
    <definedName name="_222__FDSAUDITLINK__" hidden="1">{"fdsup://directions/FAT Viewer?action=UPDATE&amp;creator=factset&amp;DYN_ARGS=TRUE&amp;DOC_NAME=FAT:FQL_AUDITING_CLIENT_TEMPLATE.FAT&amp;display_string=Audit&amp;VAR:KEY=PCFOPCBEXE&amp;VAR:QUERY=RkZfREVCVF9MVChTRU1JLDQwMDg4LDQwMDg4KQ==&amp;WINDOW=FIRST_POPUP&amp;HEIGHT=450&amp;WIDTH=450&amp;STAR","T_MAXIMIZED=FALSE&amp;VAR:CALENDAR=FIVEDAY&amp;VAR:SYMBOL=456486&amp;VAR:INDEX=0"}</definedName>
    <definedName name="_223__FDSAUDITLINK__" hidden="1">{"fdsup://directions/FAT Viewer?action=UPDATE&amp;creator=factset&amp;DYN_ARGS=TRUE&amp;DOC_NAME=FAT:FQL_AUDITING_CLIENT_TEMPLATE.FAT&amp;display_string=Audit&amp;VAR:KEY=ZEFKDEJGZE&amp;VAR:QUERY=RkZfREVCVF9MVChTRU1JLDQwMDgxLDQwMDgxKQ==&amp;WINDOW=FIRST_POPUP&amp;HEIGHT=450&amp;WIDTH=450&amp;STAR","T_MAXIMIZED=FALSE&amp;VAR:CALENDAR=FIVEDAY&amp;VAR:SYMBOL=456486&amp;VAR:INDEX=0"}</definedName>
    <definedName name="_22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2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26__FDSAUDITLINK__" hidden="1">{"fdsup://directions/FAT Viewer?action=UPDATE&amp;creator=factset&amp;DYN_ARGS=TRUE&amp;DOC_NAME=FAT:FQL_AUDITING_CLIENT_TEMPLATE.FAT&amp;display_string=Audit&amp;VAR:KEY=JOXGXATUNG&amp;VAR:QUERY=RkZfREVCVF9MVChTRU1JLDQwMDc0LDQwMDc0KQ==&amp;WINDOW=FIRST_POPUP&amp;HEIGHT=450&amp;WIDTH=450&amp;STAR","T_MAXIMIZED=FALSE&amp;VAR:CALENDAR=FIVEDAY&amp;VAR:SYMBOL=456486&amp;VAR:INDEX=0"}</definedName>
    <definedName name="_22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2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29__FDSAUDITLINK__" hidden="1">{"fdsup://directions/FAT Viewer?action=UPDATE&amp;creator=factset&amp;DYN_ARGS=TRUE&amp;DOC_NAME=FAT:FQL_AUDITING_CLIENT_TEMPLATE.FAT&amp;display_string=Audit&amp;VAR:KEY=XGRWBWREZE&amp;VAR:QUERY=RkZfREVCVF9MVChTRU1JLDQwMDY3LDQwMDY3KQ==&amp;WINDOW=FIRST_POPUP&amp;HEIGHT=450&amp;WIDTH=450&amp;STAR","T_MAXIMIZED=FALSE&amp;VAR:CALENDAR=FIVEDAY&amp;VAR:SYMBOL=456486&amp;VAR:INDEX=0"}</definedName>
    <definedName name="_23__FDSAUDITLINK__" hidden="1">{"fdsup://IBCentral/FAT Viewer?action=UPDATE&amp;creator=factset&amp;DOC_NAME=fat:reuters_annual_shs_src_window.fat&amp;display_string=Audit&amp;DYN_ARGS=TRUE&amp;VAR:ID1=14149Y10&amp;VAR:RCODE=FDSSHSOUTDEPS&amp;VAR:SDATE=20060699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3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3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32__FDSAUDITLINK__" hidden="1">{"fdsup://directions/FAT Viewer?action=UPDATE&amp;creator=factset&amp;DYN_ARGS=TRUE&amp;DOC_NAME=FAT:FQL_AUDITING_CLIENT_TEMPLATE.FAT&amp;display_string=Audit&amp;VAR:KEY=LANGFMXCFG&amp;VAR:QUERY=RkZfREVCVF9MVChTRU1JLDQwMDYwLDQwMDYwKQ==&amp;WINDOW=FIRST_POPUP&amp;HEIGHT=450&amp;WIDTH=450&amp;STAR","T_MAXIMIZED=FALSE&amp;VAR:CALENDAR=FIVEDAY&amp;VAR:SYMBOL=456486&amp;VAR:INDEX=0"}</definedName>
    <definedName name="_23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3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35__FDSAUDITLINK__" hidden="1">{"fdsup://directions/FAT Viewer?action=UPDATE&amp;creator=factset&amp;DYN_ARGS=TRUE&amp;DOC_NAME=FAT:FQL_AUDITING_CLIENT_TEMPLATE.FAT&amp;display_string=Audit&amp;VAR:KEY=JWPCVMJWXM&amp;VAR:QUERY=RkZfREVCVF9MVChTRU1JLDQwMDUzLDQwMDUzKQ==&amp;WINDOW=FIRST_POPUP&amp;HEIGHT=450&amp;WIDTH=450&amp;STAR","T_MAXIMIZED=FALSE&amp;VAR:CALENDAR=FIVEDAY&amp;VAR:SYMBOL=456486&amp;VAR:INDEX=0"}</definedName>
    <definedName name="_23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3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38__FDSAUDITLINK__" hidden="1">{"fdsup://directions/FAT Viewer?action=UPDATE&amp;creator=factset&amp;DYN_ARGS=TRUE&amp;DOC_NAME=FAT:FQL_AUDITING_CLIENT_TEMPLATE.FAT&amp;display_string=Audit&amp;VAR:KEY=LCFIDUXSXK&amp;VAR:QUERY=RkZfREVCVF9MVChTRU1JLDQwMDQ2LDQwMDQ2KQ==&amp;WINDOW=FIRST_POPUP&amp;HEIGHT=450&amp;WIDTH=450&amp;STAR","T_MAXIMIZED=FALSE&amp;VAR:CALENDAR=FIVEDAY&amp;VAR:SYMBOL=456486&amp;VAR:INDEX=0"}</definedName>
    <definedName name="_23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4__FDSAUDITLINK__" hidden="1">{"fdsup://IBCentral/FAT Viewer?action=UPDATE&amp;creator=factset&amp;DOC_NAME=fat:reuters_annual_shs_src_window.fat&amp;display_string=Audit&amp;DYN_ARGS=TRUE&amp;VAR:ID1=14149Y10&amp;VAR:RCODE=FDSSHSOUTDEPS&amp;VAR:SDATE=20050699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4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41__FDSAUDITLINK__" hidden="1">{"fdsup://directions/FAT Viewer?action=UPDATE&amp;creator=factset&amp;DYN_ARGS=TRUE&amp;DOC_NAME=FAT:FQL_AUDITING_CLIENT_TEMPLATE.FAT&amp;display_string=Audit&amp;VAR:KEY=LKPIFEZODO&amp;VAR:QUERY=RkZfREVCVF9MVChTRU1JLDQwMDM5LDQwMDM5KQ==&amp;WINDOW=FIRST_POPUP&amp;HEIGHT=450&amp;WIDTH=450&amp;STAR","T_MAXIMIZED=FALSE&amp;VAR:CALENDAR=FIVEDAY&amp;VAR:SYMBOL=456486&amp;VAR:INDEX=0"}</definedName>
    <definedName name="_242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43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44__FDSAUDITLINK__" hidden="1">{"fdsup://directions/FAT Viewer?action=UPDATE&amp;creator=factset&amp;DYN_ARGS=TRUE&amp;DOC_NAME=FAT:FQL_AUDITING_CLIENT_TEMPLATE.FAT&amp;display_string=Audit&amp;VAR:KEY=JOBQVODOHY&amp;VAR:QUERY=RkZfREVCVF9MVChTRU1JLDQwMDMyLDQwMDMyKQ==&amp;WINDOW=FIRST_POPUP&amp;HEIGHT=450&amp;WIDTH=450&amp;STAR","T_MAXIMIZED=FALSE&amp;VAR:CALENDAR=FIVEDAY&amp;VAR:SYMBOL=456486&amp;VAR:INDEX=0"}</definedName>
    <definedName name="_245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46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47__FDSAUDITLINK__" hidden="1">{"fdsup://directions/FAT Viewer?action=UPDATE&amp;creator=factset&amp;DYN_ARGS=TRUE&amp;DOC_NAME=FAT:FQL_AUDITING_CLIENT_TEMPLATE.FAT&amp;display_string=Audit&amp;VAR:KEY=XIJCHSJMNS&amp;VAR:QUERY=RkZfREVCVF9MVChTRU1JLDQwMDI1LDQwMDI1KQ==&amp;WINDOW=FIRST_POPUP&amp;HEIGHT=450&amp;WIDTH=450&amp;STAR","T_MAXIMIZED=FALSE&amp;VAR:CALENDAR=FIVEDAY&amp;VAR:SYMBOL=456486&amp;VAR:INDEX=0"}</definedName>
    <definedName name="_248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49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5__FDSAUDITLINK__" hidden="1">{"fdsup://IBCentral/FAT Viewer?action=UPDATE&amp;creator=factset&amp;DOC_NAME=fat:reuters_annual_shs_src_window.fat&amp;display_string=Audit&amp;DYN_ARGS=TRUE&amp;VAR:ID1=14149Y10&amp;VAR:RCODE=FDSSHSOUTDEPS&amp;VAR:SDATE=20040699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50__FDSAUDITLINK__" hidden="1">{"fdsup://directions/FAT Viewer?action=UPDATE&amp;creator=factset&amp;DYN_ARGS=TRUE&amp;DOC_NAME=FAT:FQL_AUDITING_CLIENT_TEMPLATE.FAT&amp;display_string=Audit&amp;VAR:KEY=NKDENMBWHQ&amp;VAR:QUERY=RkZfREVCVF9MVChTRU1JLDQwMDE4LDQwMDE4KQ==&amp;WINDOW=FIRST_POPUP&amp;HEIGHT=450&amp;WIDTH=450&amp;STAR","T_MAXIMIZED=FALSE&amp;VAR:CALENDAR=FIVEDAY&amp;VAR:SYMBOL=456486&amp;VAR:INDEX=0"}</definedName>
    <definedName name="_251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52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53__FDSAUDITLINK__" hidden="1">{"fdsup://directions/FAT Viewer?action=UPDATE&amp;creator=factset&amp;DYN_ARGS=TRUE&amp;DOC_NAME=FAT:FQL_AUDITING_CLIENT_TEMPLATE.FAT&amp;display_string=Audit&amp;VAR:KEY=FCXEXGRCNI&amp;VAR:QUERY=RkZfREVCVF9MVChTRU1JLDQwMDExLDQwMDExKQ==&amp;WINDOW=FIRST_POPUP&amp;HEIGHT=450&amp;WIDTH=450&amp;STAR","T_MAXIMIZED=FALSE&amp;VAR:CALENDAR=FIVEDAY&amp;VAR:SYMBOL=456486&amp;VAR:INDEX=0"}</definedName>
    <definedName name="_25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5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56__FDSAUDITLINK__" hidden="1">{"fdsup://directions/FAT Viewer?action=UPDATE&amp;creator=factset&amp;DYN_ARGS=TRUE&amp;DOC_NAME=FAT:FQL_AUDITING_CLIENT_TEMPLATE.FAT&amp;display_string=Audit&amp;VAR:KEY=JUTANWLOPY&amp;VAR:QUERY=RkZfREVCVF9MVChTRU1JLDQwMDA0LDQwMDA0KQ==&amp;WINDOW=FIRST_POPUP&amp;HEIGHT=450&amp;WIDTH=450&amp;STAR","T_MAXIMIZED=FALSE&amp;VAR:CALENDAR=FIVEDAY&amp;VAR:SYMBOL=456486&amp;VAR:INDEX=0"}</definedName>
    <definedName name="_25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5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59__FDSAUDITLINK__" hidden="1">{"fdsup://directions/FAT Viewer?action=UPDATE&amp;creator=factset&amp;DYN_ARGS=TRUE&amp;DOC_NAME=FAT:FQL_AUDITING_CLIENT_TEMPLATE.FAT&amp;display_string=Audit&amp;VAR:KEY=TWRADKNIRO&amp;VAR:QUERY=RkZfREVCVF9MVChTRU1JLDM5OTk3LDM5OTk3KQ==&amp;WINDOW=FIRST_POPUP&amp;HEIGHT=450&amp;WIDTH=450&amp;STAR","T_MAXIMIZED=FALSE&amp;VAR:CALENDAR=FIVEDAY&amp;VAR:SYMBOL=456486&amp;VAR:INDEX=0"}</definedName>
    <definedName name="_26__FDSAUDITLINK__" hidden="1">{"fdsup://IBCentral/FAT Viewer?action=UPDATE&amp;creator=factset&amp;DOC_NAME=fat:reuters_annual_shs_src_window.fat&amp;display_string=Audit&amp;DYN_ARGS=TRUE&amp;VAR:ID1=14149Y10&amp;VAR:RCODE=FDSSHSOUTDEPS&amp;VAR:SDATE=20030699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6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6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62__FDSAUDITLINK__" hidden="1">{"fdsup://directions/FAT Viewer?action=UPDATE&amp;creator=factset&amp;DYN_ARGS=TRUE&amp;DOC_NAME=FAT:FQL_AUDITING_CLIENT_TEMPLATE.FAT&amp;display_string=Audit&amp;VAR:KEY=TUJOPQNUXK&amp;VAR:QUERY=RkZfREVCVF9MVChTRU1JLDM5OTkwLDM5OTkwKQ==&amp;WINDOW=FIRST_POPUP&amp;HEIGHT=450&amp;WIDTH=450&amp;STAR","T_MAXIMIZED=FALSE&amp;VAR:CALENDAR=FIVEDAY&amp;VAR:SYMBOL=456486&amp;VAR:INDEX=0"}</definedName>
    <definedName name="_26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6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65__FDSAUDITLINK__" hidden="1">{"fdsup://directions/FAT Viewer?action=UPDATE&amp;creator=factset&amp;DYN_ARGS=TRUE&amp;DOC_NAME=FAT:FQL_AUDITING_CLIENT_TEMPLATE.FAT&amp;display_string=Audit&amp;VAR:KEY=ZSJMPEDIBI&amp;VAR:QUERY=RkZfREVCVF9MVChTRU1JLDM5OTgzLDM5OTgzKQ==&amp;WINDOW=FIRST_POPUP&amp;HEIGHT=450&amp;WIDTH=450&amp;STAR","T_MAXIMIZED=FALSE&amp;VAR:CALENDAR=FIVEDAY&amp;VAR:SYMBOL=456486&amp;VAR:INDEX=0"}</definedName>
    <definedName name="_26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6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68__FDSAUDITLINK__" hidden="1">{"fdsup://directions/FAT Viewer?action=UPDATE&amp;creator=factset&amp;DYN_ARGS=TRUE&amp;DOC_NAME=FAT:FQL_AUDITING_CLIENT_TEMPLATE.FAT&amp;display_string=Audit&amp;VAR:KEY=XGTIVEFWLU&amp;VAR:QUERY=RkZfREVCVF9MVChTRU1JLDM5OTc2LDM5OTc2KQ==&amp;WINDOW=FIRST_POPUP&amp;HEIGHT=450&amp;WIDTH=450&amp;STAR","T_MAXIMIZED=FALSE&amp;VAR:CALENDAR=FIVEDAY&amp;VAR:SYMBOL=456486&amp;VAR:INDEX=0"}</definedName>
    <definedName name="_26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7__FDSAUDITLINK__" hidden="1">{"fdsup://IBCentral/FAT Viewer?action=UPDATE&amp;creator=factset&amp;DOC_NAME=fat:reuters_annual_shs_src_window.fat&amp;display_string=Audit&amp;DYN_ARGS=TRUE&amp;VAR:ID1=14149Y10&amp;VAR:RCODE=FDSSHSOUTDEPS&amp;VAR:SDATE=20020699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7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71__FDSAUDITLINK__" hidden="1">{"fdsup://directions/FAT Viewer?action=UPDATE&amp;creator=factset&amp;DYN_ARGS=TRUE&amp;DOC_NAME=FAT:FQL_AUDITING_CLIENT_TEMPLATE.FAT&amp;display_string=Audit&amp;VAR:KEY=ZQVKHURUTC&amp;VAR:QUERY=RkZfREVCVF9MVChTRU1JLDM5OTY5LDM5OTY5KQ==&amp;WINDOW=FIRST_POPUP&amp;HEIGHT=450&amp;WIDTH=450&amp;STAR","T_MAXIMIZED=FALSE&amp;VAR:CALENDAR=FIVEDAY&amp;VAR:SYMBOL=456486&amp;VAR:INDEX=0"}</definedName>
    <definedName name="_272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73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74__FDSAUDITLINK__" hidden="1">{"fdsup://directions/FAT Viewer?action=UPDATE&amp;creator=factset&amp;DYN_ARGS=TRUE&amp;DOC_NAME=FAT:FQL_AUDITING_CLIENT_TEMPLATE.FAT&amp;display_string=Audit&amp;VAR:KEY=TSPMLKPSNC&amp;VAR:QUERY=RkZfREVCVF9MVChTRU1JLDM5OTYyLDM5OTYyKQ==&amp;WINDOW=FIRST_POPUP&amp;HEIGHT=450&amp;WIDTH=450&amp;STAR","T_MAXIMIZED=FALSE&amp;VAR:CALENDAR=FIVEDAY&amp;VAR:SYMBOL=456486&amp;VAR:INDEX=0"}</definedName>
    <definedName name="_275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76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77__FDSAUDITLINK__" hidden="1">{"fdsup://directions/FAT Viewer?action=UPDATE&amp;creator=factset&amp;DYN_ARGS=TRUE&amp;DOC_NAME=FAT:FQL_AUDITING_CLIENT_TEMPLATE.FAT&amp;display_string=Audit&amp;VAR:KEY=LIVUFKPCJU&amp;VAR:QUERY=RkZfREVCVF9MVChTRU1JLDM5OTU1LDM5OTU1KQ==&amp;WINDOW=FIRST_POPUP&amp;HEIGHT=450&amp;WIDTH=450&amp;STAR","T_MAXIMIZED=FALSE&amp;VAR:CALENDAR=FIVEDAY&amp;VAR:SYMBOL=456486&amp;VAR:INDEX=0"}</definedName>
    <definedName name="_278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79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8__FDSAUDITLINK__" hidden="1">{"fdsup://IBCentral/FAT Viewer?action=UPDATE&amp;creator=factset&amp;DOC_NAME=fat:reuters_annual_shs_src_window.fat&amp;display_string=Audit&amp;DYN_ARGS=TRUE&amp;VAR:ID1=14149Y10&amp;VAR:RCODE=FDSSHSOUTDEPS&amp;VAR:SDATE=20010699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80__FDSAUDITLINK__" hidden="1">{"fdsup://directions/FAT Viewer?action=UPDATE&amp;creator=factset&amp;DYN_ARGS=TRUE&amp;DOC_NAME=FAT:FQL_AUDITING_CLIENT_TEMPLATE.FAT&amp;display_string=Audit&amp;VAR:KEY=RELUBSRSZO&amp;VAR:QUERY=RkZfREVCVF9MVChTRU1JLDM5OTQ4LDM5OTQ4KQ==&amp;WINDOW=FIRST_POPUP&amp;HEIGHT=450&amp;WIDTH=450&amp;STAR","T_MAXIMIZED=FALSE&amp;VAR:CALENDAR=FIVEDAY&amp;VAR:SYMBOL=456486&amp;VAR:INDEX=0"}</definedName>
    <definedName name="_281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82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83__FDSAUDITLINK__" hidden="1">{"fdsup://directions/FAT Viewer?action=UPDATE&amp;creator=factset&amp;DYN_ARGS=TRUE&amp;DOC_NAME=FAT:FQL_AUDITING_CLIENT_TEMPLATE.FAT&amp;display_string=Audit&amp;VAR:KEY=PAXATKXIFS&amp;VAR:QUERY=RkZfREVCVF9MVChTRU1JLDM5OTQxLDM5OTQxKQ==&amp;WINDOW=FIRST_POPUP&amp;HEIGHT=450&amp;WIDTH=450&amp;STAR","T_MAXIMIZED=FALSE&amp;VAR:CALENDAR=FIVEDAY&amp;VAR:SYMBOL=456486&amp;VAR:INDEX=0"}</definedName>
    <definedName name="_28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8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86__FDSAUDITLINK__" hidden="1">{"fdsup://directions/FAT Viewer?action=UPDATE&amp;creator=factset&amp;DYN_ARGS=TRUE&amp;DOC_NAME=FAT:FQL_AUDITING_CLIENT_TEMPLATE.FAT&amp;display_string=Audit&amp;VAR:KEY=ZKTIVSNAHM&amp;VAR:QUERY=RkZfREVCVF9MVChTRU1JLDM5OTM0LDM5OTM0KQ==&amp;WINDOW=FIRST_POPUP&amp;HEIGHT=450&amp;WIDTH=450&amp;STAR","T_MAXIMIZED=FALSE&amp;VAR:CALENDAR=FIVEDAY&amp;VAR:SYMBOL=456486&amp;VAR:INDEX=0"}</definedName>
    <definedName name="_28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89__FDSAUDITLINK__" hidden="1">{"fdsup://directions/FAT Viewer?action=UPDATE&amp;creator=factset&amp;DYN_ARGS=TRUE&amp;DOC_NAME=FAT:FQL_AUDITING_CLIENT_TEMPLATE.FAT&amp;display_string=Audit&amp;VAR:KEY=RWNSNCDWXQ&amp;VAR:QUERY=RkZfREVCVF9MVChTRU1JLDM5OTI3LDM5OTI3KQ==&amp;WINDOW=FIRST_POPUP&amp;HEIGHT=450&amp;WIDTH=450&amp;STAR","T_MAXIMIZED=FALSE&amp;VAR:CALENDAR=FIVEDAY&amp;VAR:SYMBOL=456486&amp;VAR:INDEX=0"}</definedName>
    <definedName name="_29__FDSAUDITLINK__" hidden="1">{"fdsup://IBCentral/FAT Viewer?action=UPDATE&amp;creator=factset&amp;DOC_NAME=fat:reuters_annual_shs_src_window.fat&amp;display_string=Audit&amp;DYN_ARGS=TRUE&amp;VAR:ID1=14149Y10&amp;VAR:RCODE=FDSSHSOUTDEPS&amp;VAR:SDATE=20000699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9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9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92__FDSAUDITLINK__" hidden="1">{"fdsup://directions/FAT Viewer?action=UPDATE&amp;creator=factset&amp;DYN_ARGS=TRUE&amp;DOC_NAME=FAT:FQL_AUDITING_CLIENT_TEMPLATE.FAT&amp;display_string=Audit&amp;VAR:KEY=RETSXKNSVK&amp;VAR:QUERY=RkZfREVCVF9MVChTRU1JLDM5OTIwLDM5OTIwKQ==&amp;WINDOW=FIRST_POPUP&amp;HEIGHT=450&amp;WIDTH=450&amp;STAR","T_MAXIMIZED=FALSE&amp;VAR:CALENDAR=FIVEDAY&amp;VAR:SYMBOL=456486&amp;VAR:INDEX=0"}</definedName>
    <definedName name="_29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9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95__FDSAUDITLINK__" hidden="1">{"fdsup://directions/FAT Viewer?action=UPDATE&amp;creator=factset&amp;DYN_ARGS=TRUE&amp;DOC_NAME=FAT:FQL_AUDITING_CLIENT_TEMPLATE.FAT&amp;display_string=Audit&amp;VAR:KEY=TEBGRCPYNQ&amp;VAR:QUERY=RkZfREVCVF9MVChTRU1JLDM5OTEzLDM5OTEzKQ==&amp;WINDOW=FIRST_POPUP&amp;HEIGHT=450&amp;WIDTH=450&amp;STAR","T_MAXIMIZED=FALSE&amp;VAR:CALENDAR=FIVEDAY&amp;VAR:SYMBOL=456486&amp;VAR:INDEX=0"}</definedName>
    <definedName name="_29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9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98__FDSAUDITLINK__" hidden="1">{"fdsup://directions/FAT Viewer?action=UPDATE&amp;creator=factset&amp;DYN_ARGS=TRUE&amp;DOC_NAME=FAT:FQL_AUDITING_CLIENT_TEMPLATE.FAT&amp;display_string=Audit&amp;VAR:KEY=VQPMJEDIPA&amp;VAR:QUERY=RkZfREVCVF9MVChTRU1JLDM5OTA2LDM5OTA2KQ==&amp;WINDOW=FIRST_POPUP&amp;HEIGHT=450&amp;WIDTH=450&amp;STAR","T_MAXIMIZED=FALSE&amp;VAR:CALENDAR=FIVEDAY&amp;VAR:SYMBOL=456486&amp;VAR:INDEX=0"}</definedName>
    <definedName name="_29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3__FDSAUDITLINK__" hidden="1">{"fdsup://IBCentral/FAT Viewer?action=UPDATE&amp;creator=factset&amp;DOC_NAME=fat:reuters_annual_shs_src_window.fat&amp;display_string=Audit&amp;DYN_ARGS=TRUE&amp;VAR:ID1=03073E10&amp;VAR:RCODE=FDSSHSOUTDEPS&amp;VAR:SDATE=20060999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annual_shs_src_window.fat&amp;display_string=Audit&amp;DYN_ARGS=TRUE&amp;VAR:ID1=14149Y10&amp;VAR:RCODE=FDSSHSOUTDEPS&amp;VAR:SDATE=19990699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30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301__FDSAUDITLINK__" hidden="1">{"fdsup://directions/FAT Viewer?action=UPDATE&amp;creator=factset&amp;DYN_ARGS=TRUE&amp;DOC_NAME=FAT:FQL_AUDITING_CLIENT_TEMPLATE.FAT&amp;display_string=Audit&amp;VAR:KEY=JOBGLOLGPG&amp;VAR:QUERY=RkZfREVCVF9MVChTRU1JLDM5ODk5LDM5ODk5KQ==&amp;WINDOW=FIRST_POPUP&amp;HEIGHT=450&amp;WIDTH=450&amp;STAR","T_MAXIMIZED=FALSE&amp;VAR:CALENDAR=FIVEDAY&amp;VAR:SYMBOL=456486&amp;VAR:INDEX=0"}</definedName>
    <definedName name="_302__FDSAUDITLINK__" hidden="1">{"fdsup://directions/FAT Viewer?action=UPDATE&amp;creator=factset&amp;DYN_ARGS=TRUE&amp;DOC_NAME=FAT:FQL_AUDITING_CLIENT_TEMPLATE.FAT&amp;display_string=Audit&amp;VAR:KEY=LEJMXCDARU&amp;VAR:QUERY=RkZfREVCVF9MVChTRU1JLDM5ODkyLDM5ODkyKQ==&amp;WINDOW=FIRST_POPUP&amp;HEIGHT=450&amp;WIDTH=450&amp;STAR","T_MAXIMIZED=FALSE&amp;VAR:CALENDAR=FIVEDAY&amp;VAR:SYMBOL=456486&amp;VAR:INDEX=0"}</definedName>
    <definedName name="_303__FDSAUDITLINK__" hidden="1">{"fdsup://directions/FAT Viewer?action=UPDATE&amp;creator=factset&amp;DYN_ARGS=TRUE&amp;DOC_NAME=FAT:FQL_AUDITING_CLIENT_TEMPLATE.FAT&amp;display_string=Audit&amp;VAR:KEY=FSBUDGNQHO&amp;VAR:QUERY=RkZfREVCVF9MVChTRU1JLDM5ODg1LDM5ODg1KQ==&amp;WINDOW=FIRST_POPUP&amp;HEIGHT=450&amp;WIDTH=450&amp;STAR","T_MAXIMIZED=FALSE&amp;VAR:CALENDAR=FIVEDAY&amp;VAR:SYMBOL=456486&amp;VAR:INDEX=0"}</definedName>
    <definedName name="_304__FDSAUDITLINK__" hidden="1">{"fdsup://directions/FAT Viewer?action=UPDATE&amp;creator=factset&amp;DYN_ARGS=TRUE&amp;DOC_NAME=FAT:FQL_AUDITING_CLIENT_TEMPLATE.FAT&amp;display_string=Audit&amp;VAR:KEY=FYDCRKHUDU&amp;VAR:QUERY=RkZfREVCVF9MVChTRU1JLDM5ODc4LDM5ODc4KQ==&amp;WINDOW=FIRST_POPUP&amp;HEIGHT=450&amp;WIDTH=450&amp;STAR","T_MAXIMIZED=FALSE&amp;VAR:CALENDAR=FIVEDAY&amp;VAR:SYMBOL=456486&amp;VAR:INDEX=0"}</definedName>
    <definedName name="_305__FDSAUDITLINK__" hidden="1">{"fdsup://directions/FAT Viewer?action=UPDATE&amp;creator=factset&amp;DYN_ARGS=TRUE&amp;DOC_NAME=FAT:FQL_AUDITING_CLIENT_TEMPLATE.FAT&amp;display_string=Audit&amp;VAR:KEY=LQNQVYPGTU&amp;VAR:QUERY=RkZfREVCVF9MVChTRU1JLDM5ODcxLDM5ODcxKQ==&amp;WINDOW=FIRST_POPUP&amp;HEIGHT=450&amp;WIDTH=450&amp;STAR","T_MAXIMIZED=FALSE&amp;VAR:CALENDAR=FIVEDAY&amp;VAR:SYMBOL=456486&amp;VAR:INDEX=0"}</definedName>
    <definedName name="_306__FDSAUDITLINK__" hidden="1">{"fdsup://directions/FAT Viewer?action=UPDATE&amp;creator=factset&amp;DYN_ARGS=TRUE&amp;DOC_NAME=FAT:FQL_AUDITING_CLIENT_TEMPLATE.FAT&amp;display_string=Audit&amp;VAR:KEY=BQPQLSDKNC&amp;VAR:QUERY=RkZfREVCVF9MVChTRU1JLDM5ODY0LDM5ODY0KQ==&amp;WINDOW=FIRST_POPUP&amp;HEIGHT=450&amp;WIDTH=450&amp;STAR","T_MAXIMIZED=FALSE&amp;VAR:CALENDAR=FIVEDAY&amp;VAR:SYMBOL=456486&amp;VAR:INDEX=0"}</definedName>
    <definedName name="_307__FDSAUDITLINK__" hidden="1">{"fdsup://directions/FAT Viewer?action=UPDATE&amp;creator=factset&amp;DYN_ARGS=TRUE&amp;DOC_NAME=FAT:FQL_AUDITING_CLIENT_TEMPLATE.FAT&amp;display_string=Audit&amp;VAR:KEY=ZEPUDMNODA&amp;VAR:QUERY=RkZfREVCVF9MVChTRU1JLDM5ODU3LDM5ODU3KQ==&amp;WINDOW=FIRST_POPUP&amp;HEIGHT=450&amp;WIDTH=450&amp;STAR","T_MAXIMIZED=FALSE&amp;VAR:CALENDAR=FIVEDAY&amp;VAR:SYMBOL=456486&amp;VAR:INDEX=0"}</definedName>
    <definedName name="_308__FDSAUDITLINK__" hidden="1">{"fdsup://directions/FAT Viewer?action=UPDATE&amp;creator=factset&amp;DYN_ARGS=TRUE&amp;DOC_NAME=FAT:FQL_AUDITING_CLIENT_TEMPLATE.FAT&amp;display_string=Audit&amp;VAR:KEY=HKVAFINOZA&amp;VAR:QUERY=RkZfREVCVF9MVChTRU1JLDM5ODUwLDM5ODUwKQ==&amp;WINDOW=FIRST_POPUP&amp;HEIGHT=450&amp;WIDTH=450&amp;STAR","T_MAXIMIZED=FALSE&amp;VAR:CALENDAR=FIVEDAY&amp;VAR:SYMBOL=456486&amp;VAR:INDEX=0"}</definedName>
    <definedName name="_309__FDSAUDITLINK__" hidden="1">{"fdsup://directions/FAT Viewer?action=UPDATE&amp;creator=factset&amp;DYN_ARGS=TRUE&amp;DOC_NAME=FAT:FQL_AUDITING_CLIENT_TEMPLATE.FAT&amp;display_string=Audit&amp;VAR:KEY=FYNKHCPAJA&amp;VAR:QUERY=RkZfREVCVF9MVChTRU1JLDM5ODQzLDM5ODQzKQ==&amp;WINDOW=FIRST_POPUP&amp;HEIGHT=450&amp;WIDTH=450&amp;STAR","T_MAXIMIZED=FALSE&amp;VAR:CALENDAR=FIVEDAY&amp;VAR:SYMBOL=456486&amp;VAR:INDEX=0"}</definedName>
    <definedName name="_31__FDSAUDITLINK__" hidden="1">{"fdsup://IBCentral/FAT Viewer?action=UPDATE&amp;creator=factset&amp;DOC_NAME=fat:reuters_annual_source_window.fat&amp;display_string=Audit&amp;DYN_ARGS=TRUE&amp;VAR:ID1=14149Y10&amp;VAR:RCODE=FCDP&amp;VAR:SDATE=20080699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0__FDSAUDITLINK__" hidden="1">{"fdsup://directions/FAT Viewer?action=UPDATE&amp;creator=factset&amp;DYN_ARGS=TRUE&amp;DOC_NAME=FAT:FQL_AUDITING_CLIENT_TEMPLATE.FAT&amp;display_string=Audit&amp;VAR:KEY=FQNMXYTAHO&amp;VAR:QUERY=RkZfREVCVF9MVChTRU1JLDM5ODM2LDM5ODM2KQ==&amp;WINDOW=FIRST_POPUP&amp;HEIGHT=450&amp;WIDTH=450&amp;STAR","T_MAXIMIZED=FALSE&amp;VAR:CALENDAR=FIVEDAY&amp;VAR:SYMBOL=456486&amp;VAR:INDEX=0"}</definedName>
    <definedName name="_311__FDSAUDITLINK__" hidden="1">{"fdsup://directions/FAT Viewer?action=UPDATE&amp;creator=factset&amp;DYN_ARGS=TRUE&amp;DOC_NAME=FAT:FQL_AUDITING_CLIENT_TEMPLATE.FAT&amp;display_string=Audit&amp;VAR:KEY=PSZGLARQLQ&amp;VAR:QUERY=RkZfREVCVF9MVChTRU1JLDM5ODI5LDM5ODI5KQ==&amp;WINDOW=FIRST_POPUP&amp;HEIGHT=450&amp;WIDTH=450&amp;STAR","T_MAXIMIZED=FALSE&amp;VAR:CALENDAR=FIVEDAY&amp;VAR:SYMBOL=456486&amp;VAR:INDEX=0"}</definedName>
    <definedName name="_312__FDSAUDITLINK__" hidden="1">{"fdsup://directions/FAT Viewer?action=UPDATE&amp;creator=factset&amp;DYN_ARGS=TRUE&amp;DOC_NAME=FAT:FQL_AUDITING_CLIENT_TEMPLATE.FAT&amp;display_string=Audit&amp;VAR:KEY=LQLAVGRWNU&amp;VAR:QUERY=RkZfREVCVF9MVChTRU1JLDM5ODIyLDM5ODIyKQ==&amp;WINDOW=FIRST_POPUP&amp;HEIGHT=450&amp;WIDTH=450&amp;STAR","T_MAXIMIZED=FALSE&amp;VAR:CALENDAR=FIVEDAY&amp;VAR:SYMBOL=456486&amp;VAR:INDEX=0"}</definedName>
    <definedName name="_313__FDSAUDITLINK__" hidden="1">{"fdsup://directions/FAT Viewer?action=UPDATE&amp;creator=factset&amp;DYN_ARGS=TRUE&amp;DOC_NAME=FAT:FQL_AUDITING_CLIENT_TEMPLATE.FAT&amp;display_string=Audit&amp;VAR:KEY=HYRINWBAVS&amp;VAR:QUERY=RkZfREVCVF9MVChTRU1JLDM5ODE1LDM5ODE1KQ==&amp;WINDOW=FIRST_POPUP&amp;HEIGHT=450&amp;WIDTH=450&amp;STAR","T_MAXIMIZED=FALSE&amp;VAR:CALENDAR=FIVEDAY&amp;VAR:SYMBOL=456486&amp;VAR:INDEX=0"}</definedName>
    <definedName name="_314__FDSAUDITLINK__" hidden="1">{"fdsup://directions/FAT Viewer?action=UPDATE&amp;creator=factset&amp;DYN_ARGS=TRUE&amp;DOC_NAME=FAT:FQL_AUDITING_CLIENT_TEMPLATE.FAT&amp;display_string=Audit&amp;VAR:KEY=RMLKXYNYNM&amp;VAR:QUERY=RkZfREVCVF9MVChTRU1JLDM5ODA4LDM5ODA4KQ==&amp;WINDOW=FIRST_POPUP&amp;HEIGHT=450&amp;WIDTH=450&amp;STAR","T_MAXIMIZED=FALSE&amp;VAR:CALENDAR=FIVEDAY&amp;VAR:SYMBOL=456486&amp;VAR:INDEX=0"}</definedName>
    <definedName name="_315__FDSAUDITLINK__" hidden="1">{"fdsup://directions/FAT Viewer?action=UPDATE&amp;creator=factset&amp;DYN_ARGS=TRUE&amp;DOC_NAME=FAT:FQL_AUDITING_CLIENT_TEMPLATE.FAT&amp;display_string=Audit&amp;VAR:KEY=JSRABQRYZI&amp;VAR:QUERY=RkZfREVCVF9MVChTRU1JLDM5ODAxLDM5ODAxKQ==&amp;WINDOW=FIRST_POPUP&amp;HEIGHT=450&amp;WIDTH=450&amp;STAR","T_MAXIMIZED=FALSE&amp;VAR:CALENDAR=FIVEDAY&amp;VAR:SYMBOL=456486&amp;VAR:INDEX=0"}</definedName>
    <definedName name="_316__FDSAUDITLINK__" hidden="1">{"fdsup://directions/FAT Viewer?action=UPDATE&amp;creator=factset&amp;DYN_ARGS=TRUE&amp;DOC_NAME=FAT:FQL_AUDITING_CLIENT_TEMPLATE.FAT&amp;display_string=Audit&amp;VAR:KEY=HSDYBETOPS&amp;VAR:QUERY=RkZfREVCVF9MVChTRU1JLDM5Nzk0LDM5Nzk0KQ==&amp;WINDOW=FIRST_POPUP&amp;HEIGHT=450&amp;WIDTH=450&amp;STAR","T_MAXIMIZED=FALSE&amp;VAR:CALENDAR=FIVEDAY&amp;VAR:SYMBOL=456486&amp;VAR:INDEX=0"}</definedName>
    <definedName name="_317__FDSAUDITLINK__" hidden="1">{"fdsup://directions/FAT Viewer?action=UPDATE&amp;creator=factset&amp;DYN_ARGS=TRUE&amp;DOC_NAME=FAT:FQL_AUDITING_CLIENT_TEMPLATE.FAT&amp;display_string=Audit&amp;VAR:KEY=PEVEZCHEBM&amp;VAR:QUERY=RkZfREVCVF9MVChTRU1JLDM5Nzg3LDM5Nzg3KQ==&amp;WINDOW=FIRST_POPUP&amp;HEIGHT=450&amp;WIDTH=450&amp;STAR","T_MAXIMIZED=FALSE&amp;VAR:CALENDAR=FIVEDAY&amp;VAR:SYMBOL=456486&amp;VAR:INDEX=0"}</definedName>
    <definedName name="_318__FDSAUDITLINK__" hidden="1">{"fdsup://directions/FAT Viewer?action=UPDATE&amp;creator=factset&amp;DYN_ARGS=TRUE&amp;DOC_NAME=FAT:FQL_AUDITING_CLIENT_TEMPLATE.FAT&amp;display_string=Audit&amp;VAR:KEY=JOTATUTGBE&amp;VAR:QUERY=RkZfREVCVF9MVChTRU1JLDM5NzgwLDM5NzgwKQ==&amp;WINDOW=FIRST_POPUP&amp;HEIGHT=450&amp;WIDTH=450&amp;STAR","T_MAXIMIZED=FALSE&amp;VAR:CALENDAR=FIVEDAY&amp;VAR:SYMBOL=456486&amp;VAR:INDEX=0"}</definedName>
    <definedName name="_319__FDSAUDITLINK__" hidden="1">{"fdsup://directions/FAT Viewer?action=UPDATE&amp;creator=factset&amp;DYN_ARGS=TRUE&amp;DOC_NAME=FAT:FQL_AUDITING_CLIENT_TEMPLATE.FAT&amp;display_string=Audit&amp;VAR:KEY=PAPALCNMNG&amp;VAR:QUERY=RkZfREVCVF9MVChTRU1JLDM5NzczLDM5NzczKQ==&amp;WINDOW=FIRST_POPUP&amp;HEIGHT=450&amp;WIDTH=450&amp;STAR","T_MAXIMIZED=FALSE&amp;VAR:CALENDAR=FIVEDAY&amp;VAR:SYMBOL=456486&amp;VAR:INDEX=0"}</definedName>
    <definedName name="_32__FDSAUDITLINK__" hidden="1">{"fdsup://IBCentral/FAT Viewer?action=UPDATE&amp;creator=factset&amp;DOC_NAME=fat:reuters_annual_source_window.fat&amp;display_string=Audit&amp;DYN_ARGS=TRUE&amp;VAR:ID1=14149Y10&amp;VAR:RCODE=FCDP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0__FDSAUDITLINK__" hidden="1">{"fdsup://directions/FAT Viewer?action=UPDATE&amp;creator=factset&amp;DYN_ARGS=TRUE&amp;DOC_NAME=FAT:FQL_AUDITING_CLIENT_TEMPLATE.FAT&amp;display_string=Audit&amp;VAR:KEY=JSJWZONYRY&amp;VAR:QUERY=RkZfREVCVF9MVChTRU1JLDM5NzY2LDM5NzY2KQ==&amp;WINDOW=FIRST_POPUP&amp;HEIGHT=450&amp;WIDTH=450&amp;STAR","T_MAXIMIZED=FALSE&amp;VAR:CALENDAR=FIVEDAY&amp;VAR:SYMBOL=456486&amp;VAR:INDEX=0"}</definedName>
    <definedName name="_321__FDSAUDITLINK__" hidden="1">{"fdsup://directions/FAT Viewer?action=UPDATE&amp;creator=factset&amp;DYN_ARGS=TRUE&amp;DOC_NAME=FAT:FQL_AUDITING_CLIENT_TEMPLATE.FAT&amp;display_string=Audit&amp;VAR:KEY=LGRULOPWXI&amp;VAR:QUERY=RkZfREVCVF9MVChTRU1JLDM5NzU5LDM5NzU5KQ==&amp;WINDOW=FIRST_POPUP&amp;HEIGHT=450&amp;WIDTH=450&amp;STAR","T_MAXIMIZED=FALSE&amp;VAR:CALENDAR=FIVEDAY&amp;VAR:SYMBOL=456486&amp;VAR:INDEX=0"}</definedName>
    <definedName name="_322__FDSAUDITLINK__" hidden="1">{"fdsup://directions/FAT Viewer?action=UPDATE&amp;creator=factset&amp;DYN_ARGS=TRUE&amp;DOC_NAME=FAT:FQL_AUDITING_CLIENT_TEMPLATE.FAT&amp;display_string=Audit&amp;VAR:KEY=RCJAPUFWFS&amp;VAR:QUERY=RkZfREVCVF9MVChTRU1JLDM5NzUyLDM5NzUyKQ==&amp;WINDOW=FIRST_POPUP&amp;HEIGHT=450&amp;WIDTH=450&amp;STAR","T_MAXIMIZED=FALSE&amp;VAR:CALENDAR=FIVEDAY&amp;VAR:SYMBOL=456486&amp;VAR:INDEX=0"}</definedName>
    <definedName name="_323__FDSAUDITLINK__" hidden="1">{"fdsup://directions/FAT Viewer?action=UPDATE&amp;creator=factset&amp;DYN_ARGS=TRUE&amp;DOC_NAME=FAT:FQL_AUDITING_CLIENT_TEMPLATE.FAT&amp;display_string=Audit&amp;VAR:KEY=TQJUVYXAXY&amp;VAR:QUERY=RkZfREVCVF9MVChTRU1JLDM5NzQ1LDM5NzQ1KQ==&amp;WINDOW=FIRST_POPUP&amp;HEIGHT=450&amp;WIDTH=450&amp;STAR","T_MAXIMIZED=FALSE&amp;VAR:CALENDAR=FIVEDAY&amp;VAR:SYMBOL=456486&amp;VAR:INDEX=0"}</definedName>
    <definedName name="_324__FDSAUDITLINK__" hidden="1">{"fdsup://directions/FAT Viewer?action=UPDATE&amp;creator=factset&amp;DYN_ARGS=TRUE&amp;DOC_NAME=FAT:FQL_AUDITING_CLIENT_TEMPLATE.FAT&amp;display_string=Audit&amp;VAR:KEY=FENEBCPIFY&amp;VAR:QUERY=RkZfREVCVF9MVChTRU1JLDM5NzM4LDM5NzM4KQ==&amp;WINDOW=FIRST_POPUP&amp;HEIGHT=450&amp;WIDTH=450&amp;STAR","T_MAXIMIZED=FALSE&amp;VAR:CALENDAR=FIVEDAY&amp;VAR:SYMBOL=456486&amp;VAR:INDEX=0"}</definedName>
    <definedName name="_325__FDSAUDITLINK__" hidden="1">{"fdsup://directions/FAT Viewer?action=UPDATE&amp;creator=factset&amp;DYN_ARGS=TRUE&amp;DOC_NAME=FAT:FQL_AUDITING_CLIENT_TEMPLATE.FAT&amp;display_string=Audit&amp;VAR:KEY=TWNSNGNAXQ&amp;VAR:QUERY=RkZfREVCVF9MVChTRU1JLDM5NzMxLDM5NzMxKQ==&amp;WINDOW=FIRST_POPUP&amp;HEIGHT=450&amp;WIDTH=450&amp;STAR","T_MAXIMIZED=FALSE&amp;VAR:CALENDAR=FIVEDAY&amp;VAR:SYMBOL=456486&amp;VAR:INDEX=0"}</definedName>
    <definedName name="_326__FDSAUDITLINK__" hidden="1">{"fdsup://directions/FAT Viewer?action=UPDATE&amp;creator=factset&amp;DYN_ARGS=TRUE&amp;DOC_NAME=FAT:FQL_AUDITING_CLIENT_TEMPLATE.FAT&amp;display_string=Audit&amp;VAR:KEY=TKBKTSTIFK&amp;VAR:QUERY=RkZfREVCVF9MVChTRU1JLDM5NzI0LDM5NzI0KQ==&amp;WINDOW=FIRST_POPUP&amp;HEIGHT=450&amp;WIDTH=450&amp;STAR","T_MAXIMIZED=FALSE&amp;VAR:CALENDAR=FIVEDAY&amp;VAR:SYMBOL=456486&amp;VAR:INDEX=0"}</definedName>
    <definedName name="_327__FDSAUDITLINK__" hidden="1">{"fdsup://directions/FAT Viewer?action=UPDATE&amp;creator=factset&amp;DYN_ARGS=TRUE&amp;DOC_NAME=FAT:FQL_AUDITING_CLIENT_TEMPLATE.FAT&amp;display_string=Audit&amp;VAR:KEY=TALQJGPUXO&amp;VAR:QUERY=RkZfREVCVF9MVChTRU1JLDM5NzE3LDM5NzE3KQ==&amp;WINDOW=FIRST_POPUP&amp;HEIGHT=450&amp;WIDTH=450&amp;STAR","T_MAXIMIZED=FALSE&amp;VAR:CALENDAR=FIVEDAY&amp;VAR:SYMBOL=456486&amp;VAR:INDEX=0"}</definedName>
    <definedName name="_32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2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3__FDSAUDITLINK__" hidden="1">{"fdsup://IBCentral/FAT Viewer?action=UPDATE&amp;creator=factset&amp;DOC_NAME=fat:reuters_annual_source_window.fat&amp;display_string=Audit&amp;DYN_ARGS=TRUE&amp;VAR:ID1=14149Y10&amp;VAR:RCODE=FCDP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0__FDSAUDITLINK__" hidden="1">{"fdsup://directions/FAT Viewer?action=UPDATE&amp;creator=factset&amp;DYN_ARGS=TRUE&amp;DOC_NAME=FAT:FQL_AUDITING_CLIENT_TEMPLATE.FAT&amp;display_string=Audit&amp;VAR:KEY=PUHYFKVOJU&amp;VAR:QUERY=RkZfREVCVF9MVChTRU1JLDM5NzEwLDM5NzEwKQ==&amp;WINDOW=FIRST_POPUP&amp;HEIGHT=450&amp;WIDTH=450&amp;STAR","T_MAXIMIZED=FALSE&amp;VAR:CALENDAR=FIVEDAY&amp;VAR:SYMBOL=456486&amp;VAR:INDEX=0"}</definedName>
    <definedName name="_33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3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33__FDSAUDITLINK__" hidden="1">{"fdsup://directions/FAT Viewer?action=UPDATE&amp;creator=factset&amp;DYN_ARGS=TRUE&amp;DOC_NAME=FAT:FQL_AUDITING_CLIENT_TEMPLATE.FAT&amp;display_string=Audit&amp;VAR:KEY=ZUZARSXSRW&amp;VAR:QUERY=RkZfREVCVF9MVChTRU1JLDM5NzAzLDM5NzAzKQ==&amp;WINDOW=FIRST_POPUP&amp;HEIGHT=450&amp;WIDTH=450&amp;STAR","T_MAXIMIZED=FALSE&amp;VAR:CALENDAR=FIVEDAY&amp;VAR:SYMBOL=456486&amp;VAR:INDEX=0"}</definedName>
    <definedName name="_33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3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36__FDSAUDITLINK__" hidden="1">{"fdsup://directions/FAT Viewer?action=UPDATE&amp;creator=factset&amp;DYN_ARGS=TRUE&amp;DOC_NAME=FAT:FQL_AUDITING_CLIENT_TEMPLATE.FAT&amp;display_string=Audit&amp;VAR:KEY=DYXYBERYLU&amp;VAR:QUERY=RkZfREVCVF9MVChTRU1JLDM5Njk2LDM5Njk2KQ==&amp;WINDOW=FIRST_POPUP&amp;HEIGHT=450&amp;WIDTH=450&amp;STAR","T_MAXIMIZED=FALSE&amp;VAR:CALENDAR=FIVEDAY&amp;VAR:SYMBOL=456486&amp;VAR:INDEX=0"}</definedName>
    <definedName name="_33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3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39__FDSAUDITLINK__" hidden="1">{"fdsup://directions/FAT Viewer?action=UPDATE&amp;creator=factset&amp;DYN_ARGS=TRUE&amp;DOC_NAME=FAT:FQL_AUDITING_CLIENT_TEMPLATE.FAT&amp;display_string=Audit&amp;VAR:KEY=PMBSNMFANE&amp;VAR:QUERY=RkZfREVCVF9MVChTRU1JLDM5Njg5LDM5Njg5KQ==&amp;WINDOW=FIRST_POPUP&amp;HEIGHT=450&amp;WIDTH=450&amp;STAR","T_MAXIMIZED=FALSE&amp;VAR:CALENDAR=FIVEDAY&amp;VAR:SYMBOL=456486&amp;VAR:INDEX=0"}</definedName>
    <definedName name="_34__FDSAUDITLINK__" hidden="1">{"fdsup://IBCentral/FAT Viewer?action=UPDATE&amp;creator=factset&amp;DOC_NAME=fat:reuters_annual_source_window.fat&amp;display_string=Audit&amp;DYN_ARGS=TRUE&amp;VAR:ID1=14149Y10&amp;VAR:RCODE=FCDP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4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42__FDSAUDITLINK__" hidden="1">{"fdsup://directions/FAT Viewer?action=UPDATE&amp;creator=factset&amp;DYN_ARGS=TRUE&amp;DOC_NAME=FAT:FQL_AUDITING_CLIENT_TEMPLATE.FAT&amp;display_string=Audit&amp;VAR:KEY=DGPIHURYZG&amp;VAR:QUERY=RkZfREVCVF9MVChTRU1JLDM5NjgyLDM5NjgyKQ==&amp;WINDOW=FIRST_POPUP&amp;HEIGHT=450&amp;WIDTH=450&amp;STAR","T_MAXIMIZED=FALSE&amp;VAR:CALENDAR=FIVEDAY&amp;VAR:SYMBOL=456486&amp;VAR:INDEX=0"}</definedName>
    <definedName name="_34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4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45__FDSAUDITLINK__" hidden="1">{"fdsup://directions/FAT Viewer?action=UPDATE&amp;creator=factset&amp;DYN_ARGS=TRUE&amp;DOC_NAME=FAT:FQL_AUDITING_CLIENT_TEMPLATE.FAT&amp;display_string=Audit&amp;VAR:KEY=NEPWJCHUHC&amp;VAR:QUERY=RkZfREVCVF9MVChTRU1JLDM5Njc1LDM5Njc1KQ==&amp;WINDOW=FIRST_POPUP&amp;HEIGHT=450&amp;WIDTH=450&amp;STAR","T_MAXIMIZED=FALSE&amp;VAR:CALENDAR=FIVEDAY&amp;VAR:SYMBOL=456486&amp;VAR:INDEX=0"}</definedName>
    <definedName name="_346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47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48__FDSAUDITLINK__" hidden="1">{"fdsup://directions/FAT Viewer?action=UPDATE&amp;creator=factset&amp;DYN_ARGS=TRUE&amp;DOC_NAME=FAT:FQL_AUDITING_CLIENT_TEMPLATE.FAT&amp;display_string=Audit&amp;VAR:KEY=RQZYREJQFU&amp;VAR:QUERY=RkZfREVCVF9MVChTRU1JLDM5NjY4LDM5NjY4KQ==&amp;WINDOW=FIRST_POPUP&amp;HEIGHT=450&amp;WIDTH=450&amp;STAR","T_MAXIMIZED=FALSE&amp;VAR:CALENDAR=FIVEDAY&amp;VAR:SYMBOL=456486&amp;VAR:INDEX=0"}</definedName>
    <definedName name="_349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5__FDSAUDITLINK__" hidden="1">{"fdsup://IBCentral/FAT Viewer?action=UPDATE&amp;creator=factset&amp;DOC_NAME=fat:reuters_annual_source_window.fat&amp;display_string=Audit&amp;DYN_ARGS=TRUE&amp;VAR:ID1=14149Y10&amp;VAR:RCODE=FCDP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0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51__FDSAUDITLINK__" hidden="1">{"fdsup://directions/FAT Viewer?action=UPDATE&amp;creator=factset&amp;DYN_ARGS=TRUE&amp;DOC_NAME=FAT:FQL_AUDITING_CLIENT_TEMPLATE.FAT&amp;display_string=Audit&amp;VAR:KEY=DCFETCVKXW&amp;VAR:QUERY=RkZfREVCVF9MVChTRU1JLDM5NjYxLDM5NjYxKQ==&amp;WINDOW=FIRST_POPUP&amp;HEIGHT=450&amp;WIDTH=450&amp;STAR","T_MAXIMIZED=FALSE&amp;VAR:CALENDAR=FIVEDAY&amp;VAR:SYMBOL=456486&amp;VAR:INDEX=0"}</definedName>
    <definedName name="_352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53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54__FDSAUDITLINK__" hidden="1">{"fdsup://directions/FAT Viewer?action=UPDATE&amp;creator=factset&amp;DYN_ARGS=TRUE&amp;DOC_NAME=FAT:FQL_AUDITING_CLIENT_TEMPLATE.FAT&amp;display_string=Audit&amp;VAR:KEY=TYLORKTEHO&amp;VAR:QUERY=RkZfREVCVF9MVChTRU1JLDM5NjU0LDM5NjU0KQ==&amp;WINDOW=FIRST_POPUP&amp;HEIGHT=450&amp;WIDTH=450&amp;STAR","T_MAXIMIZED=FALSE&amp;VAR:CALENDAR=FIVEDAY&amp;VAR:SYMBOL=456486&amp;VAR:INDEX=0"}</definedName>
    <definedName name="_355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56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57__FDSAUDITLINK__" hidden="1">{"fdsup://directions/FAT Viewer?action=UPDATE&amp;creator=factset&amp;DYN_ARGS=TRUE&amp;DOC_NAME=FAT:FQL_AUDITING_CLIENT_TEMPLATE.FAT&amp;display_string=Audit&amp;VAR:KEY=BKZWLEBUHM&amp;VAR:QUERY=RkZfREVCVF9MVChTRU1JLDM5NjQ3LDM5NjQ3KQ==&amp;WINDOW=FIRST_POPUP&amp;HEIGHT=450&amp;WIDTH=450&amp;STAR","T_MAXIMIZED=FALSE&amp;VAR:CALENDAR=FIVEDAY&amp;VAR:SYMBOL=456486&amp;VAR:INDEX=0"}</definedName>
    <definedName name="_35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6__FDSAUDITLINK__" hidden="1">{"fdsup://IBCentral/FAT Viewer?action=UPDATE&amp;creator=factset&amp;DOC_NAME=fat:reuters_annual_source_window.fat&amp;display_string=Audit&amp;DYN_ARGS=TRUE&amp;VAR:ID1=14149Y10&amp;VAR:RCODE=FCDP&amp;VAR:SDATE=20030699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0__FDSAUDITLINK__" hidden="1">{"fdsup://directions/FAT Viewer?action=UPDATE&amp;creator=factset&amp;DYN_ARGS=TRUE&amp;DOC_NAME=FAT:FQL_AUDITING_CLIENT_TEMPLATE.FAT&amp;display_string=Audit&amp;VAR:KEY=POBUZMBIDC&amp;VAR:QUERY=RkZfREVCVF9MVChTRU1JLDM5NjQwLDM5NjQwKQ==&amp;WINDOW=FIRST_POPUP&amp;HEIGHT=450&amp;WIDTH=450&amp;STAR","T_MAXIMIZED=FALSE&amp;VAR:CALENDAR=FIVEDAY&amp;VAR:SYMBOL=456486&amp;VAR:INDEX=0"}</definedName>
    <definedName name="_36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6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63__FDSAUDITLINK__" hidden="1">{"fdsup://directions/FAT Viewer?action=UPDATE&amp;creator=factset&amp;DYN_ARGS=TRUE&amp;DOC_NAME=FAT:FQL_AUDITING_CLIENT_TEMPLATE.FAT&amp;display_string=Audit&amp;VAR:KEY=HEZWPUNMLM&amp;VAR:QUERY=RkZfREVCVF9MVChTRU1JLDM5NjMzLDM5NjMzKQ==&amp;WINDOW=FIRST_POPUP&amp;HEIGHT=450&amp;WIDTH=450&amp;STAR","T_MAXIMIZED=FALSE&amp;VAR:CALENDAR=FIVEDAY&amp;VAR:SYMBOL=456486&amp;VAR:INDEX=0"}</definedName>
    <definedName name="_36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66__FDSAUDITLINK__" hidden="1">{"fdsup://directions/FAT Viewer?action=UPDATE&amp;creator=factset&amp;DYN_ARGS=TRUE&amp;DOC_NAME=FAT:FQL_AUDITING_CLIENT_TEMPLATE.FAT&amp;display_string=Audit&amp;VAR:KEY=XOHYNSDSNC&amp;VAR:QUERY=RkZfREVCVF9MVChTRU1JLDM5NjI2LDM5NjI2KQ==&amp;WINDOW=FIRST_POPUP&amp;HEIGHT=450&amp;WIDTH=450&amp;STAR","T_MAXIMIZED=FALSE&amp;VAR:CALENDAR=FIVEDAY&amp;VAR:SYMBOL=456486&amp;VAR:INDEX=0"}</definedName>
    <definedName name="_36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6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69__FDSAUDITLINK__" hidden="1">{"fdsup://directions/FAT Viewer?action=UPDATE&amp;creator=factset&amp;DYN_ARGS=TRUE&amp;DOC_NAME=FAT:FQL_AUDITING_CLIENT_TEMPLATE.FAT&amp;display_string=Audit&amp;VAR:KEY=JUBKNMBUZU&amp;VAR:QUERY=RkZfREVCVF9MVChTRU1JLDM5NjE5LDM5NjE5KQ==&amp;WINDOW=FIRST_POPUP&amp;HEIGHT=450&amp;WIDTH=450&amp;STAR","T_MAXIMIZED=FALSE&amp;VAR:CALENDAR=FIVEDAY&amp;VAR:SYMBOL=456486&amp;VAR:INDEX=0"}</definedName>
    <definedName name="_37__FDSAUDITLINK__" hidden="1">{"fdsup://IBCentral/FAT Viewer?action=UPDATE&amp;creator=factset&amp;DOC_NAME=fat:reuters_annual_source_window.fat&amp;display_string=Audit&amp;DYN_ARGS=TRUE&amp;VAR:ID1=14149Y10&amp;VAR:RCODE=FCDP&amp;VAR:SDATE=20020699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7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72__FDSAUDITLINK__" hidden="1">{"fdsup://directions/FAT Viewer?action=UPDATE&amp;creator=factset&amp;DYN_ARGS=TRUE&amp;DOC_NAME=FAT:FQL_AUDITING_CLIENT_TEMPLATE.FAT&amp;display_string=Audit&amp;VAR:KEY=NYXITWFGLE&amp;VAR:QUERY=RkZfREVCVF9MVChTRU1JLDM5NjEyLDM5NjEyKQ==&amp;WINDOW=FIRST_POPUP&amp;HEIGHT=450&amp;WIDTH=450&amp;STAR","T_MAXIMIZED=FALSE&amp;VAR:CALENDAR=FIVEDAY&amp;VAR:SYMBOL=456486&amp;VAR:INDEX=0"}</definedName>
    <definedName name="_37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7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75__FDSAUDITLINK__" hidden="1">{"fdsup://directions/FAT Viewer?action=UPDATE&amp;creator=factset&amp;DYN_ARGS=TRUE&amp;DOC_NAME=FAT:FQL_AUDITING_CLIENT_TEMPLATE.FAT&amp;display_string=Audit&amp;VAR:KEY=ZQTGNEHOFG&amp;VAR:QUERY=RkZfREVCVF9MVChTRU1JLDM5NjA1LDM5NjA1KQ==&amp;WINDOW=FIRST_POPUP&amp;HEIGHT=450&amp;WIDTH=450&amp;STAR","T_MAXIMIZED=FALSE&amp;VAR:CALENDAR=FIVEDAY&amp;VAR:SYMBOL=456486&amp;VAR:INDEX=0"}</definedName>
    <definedName name="_376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77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78__FDSAUDITLINK__" hidden="1">{"fdsup://directions/FAT Viewer?action=UPDATE&amp;creator=factset&amp;DYN_ARGS=TRUE&amp;DOC_NAME=FAT:FQL_AUDITING_CLIENT_TEMPLATE.FAT&amp;display_string=Audit&amp;VAR:KEY=JGFOLSZYLI&amp;VAR:QUERY=RkZfREVCVF9MVChTRU1JLDM5NTk4LDM5NTk4KQ==&amp;WINDOW=FIRST_POPUP&amp;HEIGHT=450&amp;WIDTH=450&amp;STAR","T_MAXIMIZED=FALSE&amp;VAR:CALENDAR=FIVEDAY&amp;VAR:SYMBOL=456486&amp;VAR:INDEX=0"}</definedName>
    <definedName name="_379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8__FDSAUDITLINK__" hidden="1">{"fdsup://IBCentral/FAT Viewer?action=UPDATE&amp;creator=factset&amp;DOC_NAME=fat:reuters_annual_source_window.fat&amp;display_string=Audit&amp;DYN_ARGS=TRUE&amp;VAR:ID1=14149Y10&amp;VAR:RCODE=FCDP&amp;VAR:SDATE=20010699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0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81__FDSAUDITLINK__" hidden="1">{"fdsup://directions/FAT Viewer?action=UPDATE&amp;creator=factset&amp;DYN_ARGS=TRUE&amp;DOC_NAME=FAT:FQL_AUDITING_CLIENT_TEMPLATE.FAT&amp;display_string=Audit&amp;VAR:KEY=FMRABQRAHG&amp;VAR:QUERY=RkZfREVCVF9MVChTRU1JLDM5NTkxLDM5NTkxKQ==&amp;WINDOW=FIRST_POPUP&amp;HEIGHT=450&amp;WIDTH=450&amp;STAR","T_MAXIMIZED=FALSE&amp;VAR:CALENDAR=FIVEDAY&amp;VAR:SYMBOL=456486&amp;VAR:INDEX=0"}</definedName>
    <definedName name="_382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83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84__FDSAUDITLINK__" hidden="1">{"fdsup://directions/FAT Viewer?action=UPDATE&amp;creator=factset&amp;DYN_ARGS=TRUE&amp;DOC_NAME=FAT:FQL_AUDITING_CLIENT_TEMPLATE.FAT&amp;display_string=Audit&amp;VAR:KEY=HQFIDGHEVQ&amp;VAR:QUERY=RkZfREVCVF9MVChTRU1JLDM5NTg0LDM5NTg0KQ==&amp;WINDOW=FIRST_POPUP&amp;HEIGHT=450&amp;WIDTH=450&amp;STAR","T_MAXIMIZED=FALSE&amp;VAR:CALENDAR=FIVEDAY&amp;VAR:SYMBOL=456486&amp;VAR:INDEX=0"}</definedName>
    <definedName name="_385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86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87__FDSAUDITLINK__" hidden="1">{"fdsup://directions/FAT Viewer?action=UPDATE&amp;creator=factset&amp;DYN_ARGS=TRUE&amp;DOC_NAME=FAT:FQL_AUDITING_CLIENT_TEMPLATE.FAT&amp;display_string=Audit&amp;VAR:KEY=RIFWBUPEZY&amp;VAR:QUERY=RkZfREVCVF9MVChTRU1JLDM5NTc3LDM5NTc3KQ==&amp;WINDOW=FIRST_POPUP&amp;HEIGHT=450&amp;WIDTH=450&amp;STAR","T_MAXIMIZED=FALSE&amp;VAR:CALENDAR=FIVEDAY&amp;VAR:SYMBOL=456486&amp;VAR:INDEX=0"}</definedName>
    <definedName name="_38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8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9__FDSAUDITLINK__" hidden="1">{"fdsup://IBCentral/FAT Viewer?action=UPDATE&amp;creator=factset&amp;DOC_NAME=fat:reuters_annual_source_window.fat&amp;display_string=Audit&amp;DYN_ARGS=TRUE&amp;VAR:ID1=14149Y10&amp;VAR:RCODE=FCDP&amp;VAR:SDATE=20000699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90__FDSAUDITLINK__" hidden="1">{"fdsup://directions/FAT Viewer?action=UPDATE&amp;creator=factset&amp;DYN_ARGS=TRUE&amp;DOC_NAME=FAT:FQL_AUDITING_CLIENT_TEMPLATE.FAT&amp;display_string=Audit&amp;VAR:KEY=TCTEHUXEPO&amp;VAR:QUERY=RkZfREVCVF9MVChTRU1JLDM5NTcwLDM5NTcwKQ==&amp;WINDOW=FIRST_POPUP&amp;HEIGHT=450&amp;WIDTH=450&amp;STAR","T_MAXIMIZED=FALSE&amp;VAR:CALENDAR=FIVEDAY&amp;VAR:SYMBOL=456486&amp;VAR:INDEX=0"}</definedName>
    <definedName name="_39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9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93__FDSAUDITLINK__" hidden="1">{"fdsup://directions/FAT Viewer?action=UPDATE&amp;creator=factset&amp;DYN_ARGS=TRUE&amp;DOC_NAME=FAT:FQL_AUDITING_CLIENT_TEMPLATE.FAT&amp;display_string=Audit&amp;VAR:KEY=JSTWXOTGPY&amp;VAR:QUERY=RkZfREVCVF9MVChTRU1JLDM5NTYzLDM5NTYzKQ==&amp;WINDOW=FIRST_POPUP&amp;HEIGHT=450&amp;WIDTH=450&amp;STAR","T_MAXIMIZED=FALSE&amp;VAR:CALENDAR=FIVEDAY&amp;VAR:SYMBOL=456486&amp;VAR:INDEX=0"}</definedName>
    <definedName name="_39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9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96__FDSAUDITLINK__" hidden="1">{"fdsup://directions/FAT Viewer?action=UPDATE&amp;creator=factset&amp;DYN_ARGS=TRUE&amp;DOC_NAME=FAT:FQL_AUDITING_CLIENT_TEMPLATE.FAT&amp;display_string=Audit&amp;VAR:KEY=HULELQVUDY&amp;VAR:QUERY=RkZfREVCVF9MVChTRU1JLDM5NTU2LDM5NTU2KQ==&amp;WINDOW=FIRST_POPUP&amp;HEIGHT=450&amp;WIDTH=450&amp;STAR","T_MAXIMIZED=FALSE&amp;VAR:CALENDAR=FIVEDAY&amp;VAR:SYMBOL=456486&amp;VAR:INDEX=0"}</definedName>
    <definedName name="_39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99__FDSAUDITLINK__" hidden="1">{"fdsup://directions/FAT Viewer?action=UPDATE&amp;creator=factset&amp;DYN_ARGS=TRUE&amp;DOC_NAME=FAT:FQL_AUDITING_CLIENT_TEMPLATE.FAT&amp;display_string=Audit&amp;VAR:KEY=FWZYRCHOFW&amp;VAR:QUERY=RkZfREVCVF9MVChTRU1JLDM5NTQ5LDM5NTQ5KQ==&amp;WINDOW=FIRST_POPUP&amp;HEIGHT=450&amp;WIDTH=450&amp;STAR","T_MAXIMIZED=FALSE&amp;VAR:CALENDAR=FIVEDAY&amp;VAR:SYMBOL=456486&amp;VAR:INDEX=0"}</definedName>
    <definedName name="_4__FDSAUDITLINK__" hidden="1">{"fdsup://IBCentral/FAT Viewer?action=UPDATE&amp;creator=factset&amp;DOC_NAME=fat:reuters_annual_shs_src_window.fat&amp;display_string=Audit&amp;DYN_ARGS=TRUE&amp;VAR:ID1=03073E10&amp;VAR:RCODE=FDSSHSOUTDEPS&amp;VAR:SDATE=20050999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14149Y10&amp;VAR:RCODE=FCDP&amp;VAR:SDATE=19990699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40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40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402__FDSAUDITLINK__" hidden="1">{"fdsup://directions/FAT Viewer?action=UPDATE&amp;creator=factset&amp;DYN_ARGS=TRUE&amp;DOC_NAME=FAT:FQL_AUDITING_CLIENT_TEMPLATE.FAT&amp;display_string=Audit&amp;VAR:KEY=TKRSNUBGPM&amp;VAR:QUERY=RkZfREVCVF9MVChTRU1JLDM5NTQyLDM5NTQyKQ==&amp;WINDOW=FIRST_POPUP&amp;HEIGHT=450&amp;WIDTH=450&amp;STAR","T_MAXIMIZED=FALSE&amp;VAR:CALENDAR=FIVEDAY&amp;VAR:SYMBOL=456486&amp;VAR:INDEX=0"}</definedName>
    <definedName name="_40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40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405__FDSAUDITLINK__" hidden="1">{"fdsup://directions/FAT Viewer?action=UPDATE&amp;creator=factset&amp;DYN_ARGS=TRUE&amp;DOC_NAME=FAT:FQL_AUDITING_CLIENT_TEMPLATE.FAT&amp;display_string=Audit&amp;VAR:KEY=BKZOXMHGLW&amp;VAR:QUERY=RkZfREVCVF9MVChTRU1JLDM5NTM1LDM5NTM1KQ==&amp;WINDOW=FIRST_POPUP&amp;HEIGHT=450&amp;WIDTH=450&amp;STAR","T_MAXIMIZED=FALSE&amp;VAR:CALENDAR=FIVEDAY&amp;VAR:SYMBOL=456486&amp;VAR:INDEX=0"}</definedName>
    <definedName name="_406__FDSAUDITLINK__" hidden="1">{"fdsup://directions/FAT Viewer?action=UPDATE&amp;creator=factset&amp;DYN_ARGS=TRUE&amp;DOC_NAME=FAT:FQL_AUDITING_CLIENT_TEMPLATE.FAT&amp;display_string=Audit&amp;VAR:KEY=LMBKDEVWPK&amp;VAR:QUERY=RkZfREVCVF9MVChTRU1JLDM5NTI4LDM5NTI4KQ==&amp;WINDOW=FIRST_POPUP&amp;HEIGHT=450&amp;WIDTH=450&amp;STAR","T_MAXIMIZED=FALSE&amp;VAR:CALENDAR=FIVEDAY&amp;VAR:SYMBOL=456486&amp;VAR:INDEX=0"}</definedName>
    <definedName name="_407__FDSAUDITLINK__" hidden="1">{"fdsup://directions/FAT Viewer?action=UPDATE&amp;creator=factset&amp;DYN_ARGS=TRUE&amp;DOC_NAME=FAT:FQL_AUDITING_CLIENT_TEMPLATE.FAT&amp;display_string=Audit&amp;VAR:KEY=FMLQHQHWFO&amp;VAR:QUERY=RkZfREVCVF9MVChTRU1JLDM5NTIxLDM5NTIxKQ==&amp;WINDOW=FIRST_POPUP&amp;HEIGHT=450&amp;WIDTH=450&amp;STAR","T_MAXIMIZED=FALSE&amp;VAR:CALENDAR=FIVEDAY&amp;VAR:SYMBOL=456486&amp;VAR:INDEX=0"}</definedName>
    <definedName name="_408__FDSAUDITLINK__" hidden="1">{"fdsup://directions/FAT Viewer?action=UPDATE&amp;creator=factset&amp;DYN_ARGS=TRUE&amp;DOC_NAME=FAT:FQL_AUDITING_CLIENT_TEMPLATE.FAT&amp;display_string=Audit&amp;VAR:KEY=POXQPYZSHC&amp;VAR:QUERY=RkZfREVCVF9MVChTRU1JLDM5NTE0LDM5NTE0KQ==&amp;WINDOW=FIRST_POPUP&amp;HEIGHT=450&amp;WIDTH=450&amp;STAR","T_MAXIMIZED=FALSE&amp;VAR:CALENDAR=FIVEDAY&amp;VAR:SYMBOL=456486&amp;VAR:INDEX=0"}</definedName>
    <definedName name="_409__FDSAUDITLINK__" hidden="1">{"fdsup://directions/FAT Viewer?action=UPDATE&amp;creator=factset&amp;DYN_ARGS=TRUE&amp;DOC_NAME=FAT:FQL_AUDITING_CLIENT_TEMPLATE.FAT&amp;display_string=Audit&amp;VAR:KEY=NMFEBUXCDG&amp;VAR:QUERY=RkZfREVCVF9MVChTRU1JLDM5NTA3LDM5NTA3KQ==&amp;WINDOW=FIRST_POPUP&amp;HEIGHT=450&amp;WIDTH=450&amp;STAR","T_MAXIMIZED=FALSE&amp;VAR:CALENDAR=FIVEDAY&amp;VAR:SYMBOL=456486&amp;VAR:INDEX=0"}</definedName>
    <definedName name="_41__FDSAUDITLINK__" hidden="1">{"fdsup://IBCentral/FAT Viewer?action=UPDATE&amp;creator=factset&amp;DOC_NAME=fat:reuters_annual_shs_src_window.fat&amp;display_string=Audit&amp;DYN_ARGS=TRUE&amp;VAR:ID1=58155Q10&amp;VAR:RCODE=FDSSHSOUTDEPS&amp;VAR:SDATE=20090399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10__FDSAUDITLINK__" hidden="1">{"fdsup://directions/FAT Viewer?action=UPDATE&amp;creator=factset&amp;DYN_ARGS=TRUE&amp;DOC_NAME=FAT:FQL_AUDITING_CLIENT_TEMPLATE.FAT&amp;display_string=Audit&amp;VAR:KEY=NOXIDMLGFO&amp;VAR:QUERY=RkZfREVCVF9MVChTRU1JLDM5NTAwLDM5NTAwKQ==&amp;WINDOW=FIRST_POPUP&amp;HEIGHT=450&amp;WIDTH=450&amp;STAR","T_MAXIMIZED=FALSE&amp;VAR:CALENDAR=FIVEDAY&amp;VAR:SYMBOL=456486&amp;VAR:INDEX=0"}</definedName>
    <definedName name="_411__FDSAUDITLINK__" hidden="1">{"fdsup://directions/FAT Viewer?action=UPDATE&amp;creator=factset&amp;DYN_ARGS=TRUE&amp;DOC_NAME=FAT:FQL_AUDITING_CLIENT_TEMPLATE.FAT&amp;display_string=Audit&amp;VAR:KEY=NUPMBUXOLA&amp;VAR:QUERY=RkZfREVCVF9MVChTRU1JLDM5NDkzLDM5NDkzKQ==&amp;WINDOW=FIRST_POPUP&amp;HEIGHT=450&amp;WIDTH=450&amp;STAR","T_MAXIMIZED=FALSE&amp;VAR:CALENDAR=FIVEDAY&amp;VAR:SYMBOL=456486&amp;VAR:INDEX=0"}</definedName>
    <definedName name="_412__FDSAUDITLINK__" hidden="1">{"fdsup://directions/FAT Viewer?action=UPDATE&amp;creator=factset&amp;DYN_ARGS=TRUE&amp;DOC_NAME=FAT:FQL_AUDITING_CLIENT_TEMPLATE.FAT&amp;display_string=Audit&amp;VAR:KEY=VSVOPKDGPC&amp;VAR:QUERY=RkZfREVCVF9MVChTRU1JLDM5NDg2LDM5NDg2KQ==&amp;WINDOW=FIRST_POPUP&amp;HEIGHT=450&amp;WIDTH=450&amp;STAR","T_MAXIMIZED=FALSE&amp;VAR:CALENDAR=FIVEDAY&amp;VAR:SYMBOL=456486&amp;VAR:INDEX=0"}</definedName>
    <definedName name="_413__FDSAUDITLINK__" hidden="1">{"fdsup://directions/FAT Viewer?action=UPDATE&amp;creator=factset&amp;DYN_ARGS=TRUE&amp;DOC_NAME=FAT:FQL_AUDITING_CLIENT_TEMPLATE.FAT&amp;display_string=Audit&amp;VAR:KEY=JAXKZWRCBU&amp;VAR:QUERY=RkZfREVCVF9MVChTRU1JLDM5NDc5LDM5NDc5KQ==&amp;WINDOW=FIRST_POPUP&amp;HEIGHT=450&amp;WIDTH=450&amp;STAR","T_MAXIMIZED=FALSE&amp;VAR:CALENDAR=FIVEDAY&amp;VAR:SYMBOL=456486&amp;VAR:INDEX=0"}</definedName>
    <definedName name="_414__FDSAUDITLINK__" hidden="1">{"fdsup://directions/FAT Viewer?action=UPDATE&amp;creator=factset&amp;DYN_ARGS=TRUE&amp;DOC_NAME=FAT:FQL_AUDITING_CLIENT_TEMPLATE.FAT&amp;display_string=Audit&amp;VAR:KEY=ZKZWPSPKXA&amp;VAR:QUERY=RkZfREVCVF9MVChTRU1JLDM5NDcyLDM5NDcyKQ==&amp;WINDOW=FIRST_POPUP&amp;HEIGHT=450&amp;WIDTH=450&amp;STAR","T_MAXIMIZED=FALSE&amp;VAR:CALENDAR=FIVEDAY&amp;VAR:SYMBOL=456486&amp;VAR:INDEX=0"}</definedName>
    <definedName name="_415__FDSAUDITLINK__" hidden="1">{"fdsup://directions/FAT Viewer?action=UPDATE&amp;creator=factset&amp;DYN_ARGS=TRUE&amp;DOC_NAME=FAT:FQL_AUDITING_CLIENT_TEMPLATE.FAT&amp;display_string=Audit&amp;VAR:KEY=LODGPQVGPW&amp;VAR:QUERY=RkZfREVCVF9MVChTRU1JLDM5NDY1LDM5NDY1KQ==&amp;WINDOW=FIRST_POPUP&amp;HEIGHT=450&amp;WIDTH=450&amp;STAR","T_MAXIMIZED=FALSE&amp;VAR:CALENDAR=FIVEDAY&amp;VAR:SYMBOL=456486&amp;VAR:INDEX=0"}</definedName>
    <definedName name="_416__FDSAUDITLINK__" hidden="1">{"fdsup://directions/FAT Viewer?action=UPDATE&amp;creator=factset&amp;DYN_ARGS=TRUE&amp;DOC_NAME=FAT:FQL_AUDITING_CLIENT_TEMPLATE.FAT&amp;display_string=Audit&amp;VAR:KEY=NEXGZSXQLS&amp;VAR:QUERY=RkZfREVCVF9MVChTRU1JLDM5NDU4LDM5NDU4KQ==&amp;WINDOW=FIRST_POPUP&amp;HEIGHT=450&amp;WIDTH=450&amp;STAR","T_MAXIMIZED=FALSE&amp;VAR:CALENDAR=FIVEDAY&amp;VAR:SYMBOL=456486&amp;VAR:INDEX=0"}</definedName>
    <definedName name="_417__FDSAUDITLINK__" hidden="1">{"fdsup://directions/FAT Viewer?action=UPDATE&amp;creator=factset&amp;DYN_ARGS=TRUE&amp;DOC_NAME=FAT:FQL_AUDITING_CLIENT_TEMPLATE.FAT&amp;display_string=Audit&amp;VAR:KEY=HCXSBQBYDA&amp;VAR:QUERY=RkZfREVCVF9MVChTRU1JLDM5NDUxLDM5NDUxKQ==&amp;WINDOW=FIRST_POPUP&amp;HEIGHT=450&amp;WIDTH=450&amp;STAR","T_MAXIMIZED=FALSE&amp;VAR:CALENDAR=FIVEDAY&amp;VAR:SYMBOL=456486&amp;VAR:INDEX=0"}</definedName>
    <definedName name="_418__FDSAUDITLINK__" hidden="1">{"fdsup://directions/FAT Viewer?action=UPDATE&amp;creator=factset&amp;DYN_ARGS=TRUE&amp;DOC_NAME=FAT:FQL_AUDITING_CLIENT_TEMPLATE.FAT&amp;display_string=Audit&amp;VAR:KEY=ZGTCRYBAJU&amp;VAR:QUERY=RkZfREVCVF9MVChTRU1JLDM5NDQ0LDM5NDQ0KQ==&amp;WINDOW=FIRST_POPUP&amp;HEIGHT=450&amp;WIDTH=450&amp;STAR","T_MAXIMIZED=FALSE&amp;VAR:CALENDAR=FIVEDAY&amp;VAR:SYMBOL=456486&amp;VAR:INDEX=0"}</definedName>
    <definedName name="_419__FDSAUDITLINK__" hidden="1">{"fdsup://directions/FAT Viewer?action=UPDATE&amp;creator=factset&amp;DYN_ARGS=TRUE&amp;DOC_NAME=FAT:FQL_AUDITING_CLIENT_TEMPLATE.FAT&amp;display_string=Audit&amp;VAR:KEY=VUBIPCJSTE&amp;VAR:QUERY=RkZfREVCVF9MVChTRU1JLDM5NDM3LDM5NDM3KQ==&amp;WINDOW=FIRST_POPUP&amp;HEIGHT=450&amp;WIDTH=450&amp;STAR","T_MAXIMIZED=FALSE&amp;VAR:CALENDAR=FIVEDAY&amp;VAR:SYMBOL=456486&amp;VAR:INDEX=0"}</definedName>
    <definedName name="_42__FDSAUDITLINK__" hidden="1">{"fdsup://IBCentral/FAT Viewer?action=UPDATE&amp;creator=factset&amp;DOC_NAME=fat:reuters_annual_shs_src_window.fat&amp;display_string=Audit&amp;DYN_ARGS=TRUE&amp;VAR:ID1=58155Q10&amp;VAR:RCODE=FDSSHSOUTDEPS&amp;VAR:SDATE=20080399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20__FDSAUDITLINK__" hidden="1">{"fdsup://directions/FAT Viewer?action=UPDATE&amp;creator=factset&amp;DYN_ARGS=TRUE&amp;DOC_NAME=FAT:FQL_AUDITING_CLIENT_TEMPLATE.FAT&amp;display_string=Audit&amp;VAR:KEY=BOBSXKTCPO&amp;VAR:QUERY=RkZfREVCVF9MVChTRU1JLDM5NDMwLDM5NDMwKQ==&amp;WINDOW=FIRST_POPUP&amp;HEIGHT=450&amp;WIDTH=450&amp;STAR","T_MAXIMIZED=FALSE&amp;VAR:CALENDAR=FIVEDAY&amp;VAR:SYMBOL=456486&amp;VAR:INDEX=0"}</definedName>
    <definedName name="_421__FDSAUDITLINK__" hidden="1">{"fdsup://directions/FAT Viewer?action=UPDATE&amp;creator=factset&amp;DYN_ARGS=TRUE&amp;DOC_NAME=FAT:FQL_AUDITING_CLIENT_TEMPLATE.FAT&amp;display_string=Audit&amp;VAR:KEY=JCBKHKNOZW&amp;VAR:QUERY=RkZfREVCVF9MVChTRU1JLDM5NDIzLDM5NDIzKQ==&amp;WINDOW=FIRST_POPUP&amp;HEIGHT=450&amp;WIDTH=450&amp;STAR","T_MAXIMIZED=FALSE&amp;VAR:CALENDAR=FIVEDAY&amp;VAR:SYMBOL=456486&amp;VAR:INDEX=0"}</definedName>
    <definedName name="_422__FDSAUDITLINK__" hidden="1">{"fdsup://directions/FAT Viewer?action=UPDATE&amp;creator=factset&amp;DYN_ARGS=TRUE&amp;DOC_NAME=FAT:FQL_AUDITING_CLIENT_TEMPLATE.FAT&amp;display_string=Audit&amp;VAR:KEY=NAVCRKROLO&amp;VAR:QUERY=RkZfREVCVF9MVChTRU1JLDM5NDE2LDM5NDE2KQ==&amp;WINDOW=FIRST_POPUP&amp;HEIGHT=450&amp;WIDTH=450&amp;STAR","T_MAXIMIZED=FALSE&amp;VAR:CALENDAR=FIVEDAY&amp;VAR:SYMBOL=456486&amp;VAR:INDEX=0"}</definedName>
    <definedName name="_423__FDSAUDITLINK__" hidden="1">{"fdsup://directions/FAT Viewer?action=UPDATE&amp;creator=factset&amp;DYN_ARGS=TRUE&amp;DOC_NAME=FAT:FQL_AUDITING_CLIENT_TEMPLATE.FAT&amp;display_string=Audit&amp;VAR:KEY=HOXARAFUDU&amp;VAR:QUERY=RkZfREVCVF9MVChTRU1JLDM5NDA5LDM5NDA5KQ==&amp;WINDOW=FIRST_POPUP&amp;HEIGHT=450&amp;WIDTH=450&amp;STAR","T_MAXIMIZED=FALSE&amp;VAR:CALENDAR=FIVEDAY&amp;VAR:SYMBOL=456486&amp;VAR:INDEX=0"}</definedName>
    <definedName name="_424__FDSAUDITLINK__" hidden="1">{"fdsup://directions/FAT Viewer?action=UPDATE&amp;creator=factset&amp;DYN_ARGS=TRUE&amp;DOC_NAME=FAT:FQL_AUDITING_CLIENT_TEMPLATE.FAT&amp;display_string=Audit&amp;VAR:KEY=XKPGZGBWBQ&amp;VAR:QUERY=RkZfREVCVF9MVChTRU1JLDM5NDAyLDM5NDAyKQ==&amp;WINDOW=FIRST_POPUP&amp;HEIGHT=450&amp;WIDTH=450&amp;STAR","T_MAXIMIZED=FALSE&amp;VAR:CALENDAR=FIVEDAY&amp;VAR:SYMBOL=456486&amp;VAR:INDEX=0"}</definedName>
    <definedName name="_425__FDSAUDITLINK__" hidden="1">{"fdsup://directions/FAT Viewer?action=UPDATE&amp;creator=factset&amp;DYN_ARGS=TRUE&amp;DOC_NAME=FAT:FQL_AUDITING_CLIENT_TEMPLATE.FAT&amp;display_string=Audit&amp;VAR:KEY=BKNEJSDWBY&amp;VAR:QUERY=RkZfREVCVF9MVChTRU1JLDM5Mzk1LDM5Mzk1KQ==&amp;WINDOW=FIRST_POPUP&amp;HEIGHT=450&amp;WIDTH=450&amp;STAR","T_MAXIMIZED=FALSE&amp;VAR:CALENDAR=FIVEDAY&amp;VAR:SYMBOL=456486&amp;VAR:INDEX=0"}</definedName>
    <definedName name="_426__FDSAUDITLINK__" hidden="1">{"fdsup://directions/FAT Viewer?action=UPDATE&amp;creator=factset&amp;DYN_ARGS=TRUE&amp;DOC_NAME=FAT:FQL_AUDITING_CLIENT_TEMPLATE.FAT&amp;display_string=Audit&amp;VAR:KEY=BIPAJSTQNA&amp;VAR:QUERY=RkZfREVCVF9MVChTRU1JLDM5Mzg4LDM5Mzg4KQ==&amp;WINDOW=FIRST_POPUP&amp;HEIGHT=450&amp;WIDTH=450&amp;STAR","T_MAXIMIZED=FALSE&amp;VAR:CALENDAR=FIVEDAY&amp;VAR:SYMBOL=456486&amp;VAR:INDEX=0"}</definedName>
    <definedName name="_427__FDSAUDITLINK__" hidden="1">{"fdsup://directions/FAT Viewer?action=UPDATE&amp;creator=factset&amp;DYN_ARGS=TRUE&amp;DOC_NAME=FAT:FQL_AUDITING_CLIENT_TEMPLATE.FAT&amp;display_string=Audit&amp;VAR:KEY=VARUTAFYZO&amp;VAR:QUERY=RkZfREVCVF9MVChTRU1JLDM5MzgxLDM5MzgxKQ==&amp;WINDOW=FIRST_POPUP&amp;HEIGHT=450&amp;WIDTH=450&amp;STAR","T_MAXIMIZED=FALSE&amp;VAR:CALENDAR=FIVEDAY&amp;VAR:SYMBOL=456486&amp;VAR:INDEX=0"}</definedName>
    <definedName name="_428__FDSAUDITLINK__" hidden="1">{"fdsup://directions/FAT Viewer?action=UPDATE&amp;creator=factset&amp;DYN_ARGS=TRUE&amp;DOC_NAME=FAT:FQL_AUDITING_CLIENT_TEMPLATE.FAT&amp;display_string=Audit&amp;VAR:KEY=DWPIHOVGTK&amp;VAR:QUERY=RkZfREVCVF9MVChTRU1JLDM5Mzc0LDM5Mzc0KQ==&amp;WINDOW=FIRST_POPUP&amp;HEIGHT=450&amp;WIDTH=450&amp;STAR","T_MAXIMIZED=FALSE&amp;VAR:CALENDAR=FIVEDAY&amp;VAR:SYMBOL=456486&amp;VAR:INDEX=0"}</definedName>
    <definedName name="_429__FDSAUDITLINK__" hidden="1">{"fdsup://directions/FAT Viewer?action=UPDATE&amp;creator=factset&amp;DYN_ARGS=TRUE&amp;DOC_NAME=FAT:FQL_AUDITING_CLIENT_TEMPLATE.FAT&amp;display_string=Audit&amp;VAR:KEY=NMDYDEHGLO&amp;VAR:QUERY=RkZfREVCVF9MVChTRU1JLDM5MzY3LDM5MzY3KQ==&amp;WINDOW=FIRST_POPUP&amp;HEIGHT=450&amp;WIDTH=450&amp;STAR","T_MAXIMIZED=FALSE&amp;VAR:CALENDAR=FIVEDAY&amp;VAR:SYMBOL=456486&amp;VAR:INDEX=0"}</definedName>
    <definedName name="_43__FDSAUDITLINK__" hidden="1">{"fdsup://IBCentral/FAT Viewer?action=UPDATE&amp;creator=factset&amp;DOC_NAME=fat:reuters_annual_shs_src_window.fat&amp;display_string=Audit&amp;DYN_ARGS=TRUE&amp;VAR:ID1=58155Q10&amp;VAR:RCODE=FDSSHSOUTDEPS&amp;VAR:SDATE=20070399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30__FDSAUDITLINK__" hidden="1">{"fdsup://directions/FAT Viewer?action=UPDATE&amp;creator=factset&amp;DYN_ARGS=TRUE&amp;DOC_NAME=FAT:FQL_AUDITING_CLIENT_TEMPLATE.FAT&amp;display_string=Audit&amp;VAR:KEY=XUZKFGPYFS&amp;VAR:QUERY=RkZfREVCVF9MVChTRU1JLDM5MzYwLDM5MzYwKQ==&amp;WINDOW=FIRST_POPUP&amp;HEIGHT=450&amp;WIDTH=450&amp;STAR","T_MAXIMIZED=FALSE&amp;VAR:CALENDAR=FIVEDAY&amp;VAR:SYMBOL=456486&amp;VAR:INDEX=0"}</definedName>
    <definedName name="_431__FDSAUDITLINK__" hidden="1">{"fdsup://directions/FAT Viewer?action=UPDATE&amp;creator=factset&amp;DYN_ARGS=TRUE&amp;DOC_NAME=FAT:FQL_AUDITING_CLIENT_TEMPLATE.FAT&amp;display_string=Audit&amp;VAR:KEY=TGZWVANSXQ&amp;VAR:QUERY=RkZfREVCVF9MVChTRU1JLDM5MzUzLDM5MzUzKQ==&amp;WINDOW=FIRST_POPUP&amp;HEIGHT=450&amp;WIDTH=450&amp;STAR","T_MAXIMIZED=FALSE&amp;VAR:CALENDAR=FIVEDAY&amp;VAR:SYMBOL=456486&amp;VAR:INDEX=0"}</definedName>
    <definedName name="_432__FDSAUDITLINK__" hidden="1">{"fdsup://directions/FAT Viewer?action=UPDATE&amp;creator=factset&amp;DYN_ARGS=TRUE&amp;DOC_NAME=FAT:FQL_AUDITING_CLIENT_TEMPLATE.FAT&amp;display_string=Audit&amp;VAR:KEY=ZWPCTYHAPA&amp;VAR:QUERY=RkZfREVCVF9MVChTRU1JLDM5MzQ2LDM5MzQ2KQ==&amp;WINDOW=FIRST_POPUP&amp;HEIGHT=450&amp;WIDTH=450&amp;STAR","T_MAXIMIZED=FALSE&amp;VAR:CALENDAR=FIVEDAY&amp;VAR:SYMBOL=456486&amp;VAR:INDEX=0"}</definedName>
    <definedName name="_43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3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35__FDSAUDITLINK__" hidden="1">{"fdsup://directions/FAT Viewer?action=UPDATE&amp;creator=factset&amp;DYN_ARGS=TRUE&amp;DOC_NAME=FAT:FQL_AUDITING_CLIENT_TEMPLATE.FAT&amp;display_string=Audit&amp;VAR:KEY=HINKTGRKVE&amp;VAR:QUERY=RkZfREVCVF9MVChTRU1JLDM5MzM5LDM5MzM5KQ==&amp;WINDOW=FIRST_POPUP&amp;HEIGHT=450&amp;WIDTH=450&amp;STAR","T_MAXIMIZED=FALSE&amp;VAR:CALENDAR=FIVEDAY&amp;VAR:SYMBOL=456486&amp;VAR:INDEX=0"}</definedName>
    <definedName name="_43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3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38__FDSAUDITLINK__" hidden="1">{"fdsup://directions/FAT Viewer?action=UPDATE&amp;creator=factset&amp;DYN_ARGS=TRUE&amp;DOC_NAME=FAT:FQL_AUDITING_CLIENT_TEMPLATE.FAT&amp;display_string=Audit&amp;VAR:KEY=ZWZOLYNSDA&amp;VAR:QUERY=RkZfREVCVF9MVChTRU1JLDM5MzMyLDM5MzMyKQ==&amp;WINDOW=FIRST_POPUP&amp;HEIGHT=450&amp;WIDTH=450&amp;STAR","T_MAXIMIZED=FALSE&amp;VAR:CALENDAR=FIVEDAY&amp;VAR:SYMBOL=456486&amp;VAR:INDEX=0"}</definedName>
    <definedName name="_43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4__FDSAUDITLINK__" hidden="1">{"fdsup://IBCentral/FAT Viewer?action=UPDATE&amp;creator=factset&amp;DOC_NAME=fat:reuters_annual_shs_src_window.fat&amp;display_string=Audit&amp;DYN_ARGS=TRUE&amp;VAR:ID1=58155Q10&amp;VAR:RCODE=FDSSHSOUTDEPS&amp;VAR:SDATE=20060399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4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41__FDSAUDITLINK__" hidden="1">{"fdsup://directions/FAT Viewer?action=UPDATE&amp;creator=factset&amp;DYN_ARGS=TRUE&amp;DOC_NAME=FAT:FQL_AUDITING_CLIENT_TEMPLATE.FAT&amp;display_string=Audit&amp;VAR:KEY=DSVKVCDOZI&amp;VAR:QUERY=RkZfREVCVF9MVChTRU1JLDM5MzI1LDM5MzI1KQ==&amp;WINDOW=FIRST_POPUP&amp;HEIGHT=450&amp;WIDTH=450&amp;STAR","T_MAXIMIZED=FALSE&amp;VAR:CALENDAR=FIVEDAY&amp;VAR:SYMBOL=456486&amp;VAR:INDEX=0"}</definedName>
    <definedName name="_44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4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44__FDSAUDITLINK__" hidden="1">{"fdsup://directions/FAT Viewer?action=UPDATE&amp;creator=factset&amp;DYN_ARGS=TRUE&amp;DOC_NAME=FAT:FQL_AUDITING_CLIENT_TEMPLATE.FAT&amp;display_string=Audit&amp;VAR:KEY=HSPCVOPEFE&amp;VAR:QUERY=RkZfREVCVF9MVChTRU1JLDM5MzE4LDM5MzE4KQ==&amp;WINDOW=FIRST_POPUP&amp;HEIGHT=450&amp;WIDTH=450&amp;STAR","T_MAXIMIZED=FALSE&amp;VAR:CALENDAR=FIVEDAY&amp;VAR:SYMBOL=456486&amp;VAR:INDEX=0"}</definedName>
    <definedName name="_44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4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47__FDSAUDITLINK__" hidden="1">{"fdsup://directions/FAT Viewer?action=UPDATE&amp;creator=factset&amp;DYN_ARGS=TRUE&amp;DOC_NAME=FAT:FQL_AUDITING_CLIENT_TEMPLATE.FAT&amp;display_string=Audit&amp;VAR:KEY=LQDKPOBEDE&amp;VAR:QUERY=RkZfREVCVF9MVChTRU1JLDM5MzExLDM5MzExKQ==&amp;WINDOW=FIRST_POPUP&amp;HEIGHT=450&amp;WIDTH=450&amp;STAR","T_MAXIMIZED=FALSE&amp;VAR:CALENDAR=FIVEDAY&amp;VAR:SYMBOL=456486&amp;VAR:INDEX=0"}</definedName>
    <definedName name="_44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4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5__FDSAUDITLINK__" hidden="1">{"fdsup://IBCentral/FAT Viewer?action=UPDATE&amp;creator=factset&amp;DOC_NAME=fat:reuters_annual_shs_src_window.fat&amp;display_string=Audit&amp;DYN_ARGS=TRUE&amp;VAR:ID1=58155Q10&amp;VAR:RCODE=FDSSHSOUTDEPS&amp;VAR:SDATE=20050399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50__FDSAUDITLINK__" hidden="1">{"fdsup://directions/FAT Viewer?action=UPDATE&amp;creator=factset&amp;DYN_ARGS=TRUE&amp;DOC_NAME=FAT:FQL_AUDITING_CLIENT_TEMPLATE.FAT&amp;display_string=Audit&amp;VAR:KEY=NEPILAPMDG&amp;VAR:QUERY=RkZfREVCVF9MVChTRU1JLDM5MzA0LDM5MzA0KQ==&amp;WINDOW=FIRST_POPUP&amp;HEIGHT=450&amp;WIDTH=450&amp;STAR","T_MAXIMIZED=FALSE&amp;VAR:CALENDAR=FIVEDAY&amp;VAR:SYMBOL=456486&amp;VAR:INDEX=0"}</definedName>
    <definedName name="_451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52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53__FDSAUDITLINK__" hidden="1">{"fdsup://directions/FAT Viewer?action=UPDATE&amp;creator=factset&amp;DYN_ARGS=TRUE&amp;DOC_NAME=FAT:FQL_AUDITING_CLIENT_TEMPLATE.FAT&amp;display_string=Audit&amp;VAR:KEY=RCLYJOLSLA&amp;VAR:QUERY=RkZfREVCVF9MVChTRU1JLDM5Mjk3LDM5Mjk3KQ==&amp;WINDOW=FIRST_POPUP&amp;HEIGHT=450&amp;WIDTH=450&amp;STAR","T_MAXIMIZED=FALSE&amp;VAR:CALENDAR=FIVEDAY&amp;VAR:SYMBOL=456486&amp;VAR:INDEX=0"}</definedName>
    <definedName name="_454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55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56__FDSAUDITLINK__" hidden="1">{"fdsup://directions/FAT Viewer?action=UPDATE&amp;creator=factset&amp;DYN_ARGS=TRUE&amp;DOC_NAME=FAT:FQL_AUDITING_CLIENT_TEMPLATE.FAT&amp;display_string=Audit&amp;VAR:KEY=JIVYZUXELM&amp;VAR:QUERY=RkZfREVCVF9MVChTRU1JLDM5MjkwLDM5MjkwKQ==&amp;WINDOW=FIRST_POPUP&amp;HEIGHT=450&amp;WIDTH=450&amp;STAR","T_MAXIMIZED=FALSE&amp;VAR:CALENDAR=FIVEDAY&amp;VAR:SYMBOL=456486&amp;VAR:INDEX=0"}</definedName>
    <definedName name="_457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58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59__FDSAUDITLINK__" hidden="1">{"fdsup://directions/FAT Viewer?action=UPDATE&amp;creator=factset&amp;DYN_ARGS=TRUE&amp;DOC_NAME=FAT:FQL_AUDITING_CLIENT_TEMPLATE.FAT&amp;display_string=Audit&amp;VAR:KEY=BGFGBIRGBS&amp;VAR:QUERY=RkZfREVCVF9MVChTRU1JLDM5MjgzLDM5MjgzKQ==&amp;WINDOW=FIRST_POPUP&amp;HEIGHT=450&amp;WIDTH=450&amp;STAR","T_MAXIMIZED=FALSE&amp;VAR:CALENDAR=FIVEDAY&amp;VAR:SYMBOL=456486&amp;VAR:INDEX=0"}</definedName>
    <definedName name="_46__FDSAUDITLINK__" hidden="1">{"fdsup://IBCentral/FAT Viewer?action=UPDATE&amp;creator=factset&amp;DOC_NAME=fat:reuters_annual_shs_src_window.fat&amp;display_string=Audit&amp;DYN_ARGS=TRUE&amp;VAR:ID1=58155Q10&amp;VAR:RCODE=FDSSHSOUTDEPS&amp;VAR:SDATE=20040399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60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61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62__FDSAUDITLINK__" hidden="1">{"fdsup://directions/FAT Viewer?action=UPDATE&amp;creator=factset&amp;DYN_ARGS=TRUE&amp;DOC_NAME=FAT:FQL_AUDITING_CLIENT_TEMPLATE.FAT&amp;display_string=Audit&amp;VAR:KEY=JYPIREDWRU&amp;VAR:QUERY=RkZfREVCVF9MVChTRU1JLDM5Mjc2LDM5Mjc2KQ==&amp;WINDOW=FIRST_POPUP&amp;HEIGHT=450&amp;WIDTH=450&amp;STAR","T_MAXIMIZED=FALSE&amp;VAR:CALENDAR=FIVEDAY&amp;VAR:SYMBOL=456486&amp;VAR:INDEX=0"}</definedName>
    <definedName name="_46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6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65__FDSAUDITLINK__" hidden="1">{"fdsup://directions/FAT Viewer?action=UPDATE&amp;creator=factset&amp;DYN_ARGS=TRUE&amp;DOC_NAME=FAT:FQL_AUDITING_CLIENT_TEMPLATE.FAT&amp;display_string=Audit&amp;VAR:KEY=VKVAJWRQLC&amp;VAR:QUERY=RkZfREVCVF9MVChTRU1JLDM5MjY5LDM5MjY5KQ==&amp;WINDOW=FIRST_POPUP&amp;HEIGHT=450&amp;WIDTH=450&amp;STAR","T_MAXIMIZED=FALSE&amp;VAR:CALENDAR=FIVEDAY&amp;VAR:SYMBOL=456486&amp;VAR:INDEX=0"}</definedName>
    <definedName name="_46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6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68__FDSAUDITLINK__" hidden="1">{"fdsup://directions/FAT Viewer?action=UPDATE&amp;creator=factset&amp;DYN_ARGS=TRUE&amp;DOC_NAME=FAT:FQL_AUDITING_CLIENT_TEMPLATE.FAT&amp;display_string=Audit&amp;VAR:KEY=NYXIXUBEVM&amp;VAR:QUERY=RkZfREVCVF9MVChTRU1JLDM5MjYyLDM5MjYyKQ==&amp;WINDOW=FIRST_POPUP&amp;HEIGHT=450&amp;WIDTH=450&amp;STAR","T_MAXIMIZED=FALSE&amp;VAR:CALENDAR=FIVEDAY&amp;VAR:SYMBOL=456486&amp;VAR:INDEX=0"}</definedName>
    <definedName name="_46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7__FDSAUDITLINK__" hidden="1">{"fdsup://IBCentral/FAT Viewer?action=UPDATE&amp;creator=factset&amp;DOC_NAME=fat:reuters_annual_shs_src_window.fat&amp;display_string=Audit&amp;DYN_ARGS=TRUE&amp;VAR:ID1=58155Q10&amp;VAR:RCODE=FDSSHSOUTDEPS&amp;VAR:SDATE=20030399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7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71__FDSAUDITLINK__" hidden="1">{"fdsup://directions/FAT Viewer?action=UPDATE&amp;creator=factset&amp;DYN_ARGS=TRUE&amp;DOC_NAME=FAT:FQL_AUDITING_CLIENT_TEMPLATE.FAT&amp;display_string=Audit&amp;VAR:KEY=TURCPWTGRM&amp;VAR:QUERY=RkZfREVCVF9MVChTRU1JLDM5MjU1LDM5MjU1KQ==&amp;WINDOW=FIRST_POPUP&amp;HEIGHT=450&amp;WIDTH=450&amp;STAR","T_MAXIMIZED=FALSE&amp;VAR:CALENDAR=FIVEDAY&amp;VAR:SYMBOL=456486&amp;VAR:INDEX=0"}</definedName>
    <definedName name="_47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74__FDSAUDITLINK__" hidden="1">{"fdsup://directions/FAT Viewer?action=UPDATE&amp;creator=factset&amp;DYN_ARGS=TRUE&amp;DOC_NAME=FAT:FQL_AUDITING_CLIENT_TEMPLATE.FAT&amp;display_string=Audit&amp;VAR:KEY=ZCJEVUFMZE&amp;VAR:QUERY=RkZfREVCVF9MVChTRU1JLDM5MjQ4LDM5MjQ4KQ==&amp;WINDOW=FIRST_POPUP&amp;HEIGHT=450&amp;WIDTH=450&amp;STAR","T_MAXIMIZED=FALSE&amp;VAR:CALENDAR=FIVEDAY&amp;VAR:SYMBOL=456486&amp;VAR:INDEX=0"}</definedName>
    <definedName name="_47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7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77__FDSAUDITLINK__" hidden="1">{"fdsup://directions/FAT Viewer?action=UPDATE&amp;creator=factset&amp;DYN_ARGS=TRUE&amp;DOC_NAME=FAT:FQL_AUDITING_CLIENT_TEMPLATE.FAT&amp;display_string=Audit&amp;VAR:KEY=XMXWFERYXM&amp;VAR:QUERY=RkZfREVCVF9MVChTRU1JLDM5MjQxLDM5MjQxKQ==&amp;WINDOW=FIRST_POPUP&amp;HEIGHT=450&amp;WIDTH=450&amp;STAR","T_MAXIMIZED=FALSE&amp;VAR:CALENDAR=FIVEDAY&amp;VAR:SYMBOL=456486&amp;VAR:INDEX=0"}</definedName>
    <definedName name="_47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8__FDSAUDITLINK__" hidden="1">{"fdsup://IBCentral/FAT Viewer?action=UPDATE&amp;creator=factset&amp;DOC_NAME=fat:reuters_annual_shs_src_window.fat&amp;display_string=Audit&amp;DYN_ARGS=TRUE&amp;VAR:ID1=58155Q10&amp;VAR:RCODE=FDSSHSOUTDEPS&amp;VAR:SDATE=20020399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80__FDSAUDITLINK__" hidden="1">{"fdsup://directions/FAT Viewer?action=UPDATE&amp;creator=factset&amp;DYN_ARGS=TRUE&amp;DOC_NAME=FAT:FQL_AUDITING_CLIENT_TEMPLATE.FAT&amp;display_string=Audit&amp;VAR:KEY=XMXGRMHQFA&amp;VAR:QUERY=RkZfREVCVF9MVChTRU1JLDM5MjM0LDM5MjM0KQ==&amp;WINDOW=FIRST_POPUP&amp;HEIGHT=450&amp;WIDTH=450&amp;STAR","T_MAXIMIZED=FALSE&amp;VAR:CALENDAR=FIVEDAY&amp;VAR:SYMBOL=456486&amp;VAR:INDEX=0"}</definedName>
    <definedName name="_481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82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83__FDSAUDITLINK__" hidden="1">{"fdsup://directions/FAT Viewer?action=UPDATE&amp;creator=factset&amp;DYN_ARGS=TRUE&amp;DOC_NAME=FAT:FQL_AUDITING_CLIENT_TEMPLATE.FAT&amp;display_string=Audit&amp;VAR:KEY=FONSFOFKNE&amp;VAR:QUERY=RkZfREVCVF9MVChTRU1JLDM5MjI3LDM5MjI3KQ==&amp;WINDOW=FIRST_POPUP&amp;HEIGHT=450&amp;WIDTH=450&amp;STAR","T_MAXIMIZED=FALSE&amp;VAR:CALENDAR=FIVEDAY&amp;VAR:SYMBOL=456486&amp;VAR:INDEX=0"}</definedName>
    <definedName name="_484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85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86__FDSAUDITLINK__" hidden="1">{"fdsup://directions/FAT Viewer?action=UPDATE&amp;creator=factset&amp;DYN_ARGS=TRUE&amp;DOC_NAME=FAT:FQL_AUDITING_CLIENT_TEMPLATE.FAT&amp;display_string=Audit&amp;VAR:KEY=FEPSNOVKBG&amp;VAR:QUERY=RkZfREVCVF9MVChTRU1JLDM5MjIwLDM5MjIwKQ==&amp;WINDOW=FIRST_POPUP&amp;HEIGHT=450&amp;WIDTH=450&amp;STAR","T_MAXIMIZED=FALSE&amp;VAR:CALENDAR=FIVEDAY&amp;VAR:SYMBOL=456486&amp;VAR:INDEX=0"}</definedName>
    <definedName name="_487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88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89__FDSAUDITLINK__" hidden="1">{"fdsup://directions/FAT Viewer?action=UPDATE&amp;creator=factset&amp;DYN_ARGS=TRUE&amp;DOC_NAME=FAT:FQL_AUDITING_CLIENT_TEMPLATE.FAT&amp;display_string=Audit&amp;VAR:KEY=RWRONYHKVG&amp;VAR:QUERY=RkZfREVCVF9MVChTRU1JLDM5MjEzLDM5MjEzKQ==&amp;WINDOW=FIRST_POPUP&amp;HEIGHT=450&amp;WIDTH=450&amp;STAR","T_MAXIMIZED=FALSE&amp;VAR:CALENDAR=FIVEDAY&amp;VAR:SYMBOL=456486&amp;VAR:INDEX=0"}</definedName>
    <definedName name="_49__FDSAUDITLINK__" hidden="1">{"fdsup://IBCentral/FAT Viewer?action=UPDATE&amp;creator=factset&amp;DOC_NAME=fat:reuters_annual_shs_src_window.fat&amp;display_string=Audit&amp;DYN_ARGS=TRUE&amp;VAR:ID1=58155Q10&amp;VAR:RCODE=FDSSHSOUTDEPS&amp;VAR:SDATE=20010399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90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91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92__FDSAUDITLINK__" hidden="1">{"fdsup://directions/FAT Viewer?action=UPDATE&amp;creator=factset&amp;DYN_ARGS=TRUE&amp;DOC_NAME=FAT:FQL_AUDITING_CLIENT_TEMPLATE.FAT&amp;display_string=Audit&amp;VAR:KEY=FMBIVINMLS&amp;VAR:QUERY=RkZfREVCVF9MVChTRU1JLDM5MjA2LDM5MjA2KQ==&amp;WINDOW=FIRST_POPUP&amp;HEIGHT=450&amp;WIDTH=450&amp;STAR","T_MAXIMIZED=FALSE&amp;VAR:CALENDAR=FIVEDAY&amp;VAR:SYMBOL=456486&amp;VAR:INDEX=0"}</definedName>
    <definedName name="_49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9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95__FDSAUDITLINK__" hidden="1">{"fdsup://directions/FAT Viewer?action=UPDATE&amp;creator=factset&amp;DYN_ARGS=TRUE&amp;DOC_NAME=FAT:FQL_AUDITING_CLIENT_TEMPLATE.FAT&amp;display_string=Audit&amp;VAR:KEY=VUPKVWLUZC&amp;VAR:QUERY=RkZfREVCVF9MVChTRU1JLDM5MTk5LDM5MTk5KQ==&amp;WINDOW=FIRST_POPUP&amp;HEIGHT=450&amp;WIDTH=450&amp;STAR","T_MAXIMIZED=FALSE&amp;VAR:CALENDAR=FIVEDAY&amp;VAR:SYMBOL=456486&amp;VAR:INDEX=0"}</definedName>
    <definedName name="_49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9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98__FDSAUDITLINK__" hidden="1">{"fdsup://directions/FAT Viewer?action=UPDATE&amp;creator=factset&amp;DYN_ARGS=TRUE&amp;DOC_NAME=FAT:FQL_AUDITING_CLIENT_TEMPLATE.FAT&amp;display_string=Audit&amp;VAR:KEY=XMPGHAJOPQ&amp;VAR:QUERY=RkZfREVCVF9MVChTRU1JLDM5MTkyLDM5MTkyKQ==&amp;WINDOW=FIRST_POPUP&amp;HEIGHT=450&amp;WIDTH=450&amp;STAR","T_MAXIMIZED=FALSE&amp;VAR:CALENDAR=FIVEDAY&amp;VAR:SYMBOL=456486&amp;VAR:INDEX=0"}</definedName>
    <definedName name="_49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5__FDSAUDITLINK__" hidden="1">{"fdsup://IBCentral/FAT Viewer?action=UPDATE&amp;creator=factset&amp;DOC_NAME=fat:reuters_annual_shs_src_window.fat&amp;display_string=Audit&amp;DYN_ARGS=TRUE&amp;VAR:ID1=03073E10&amp;VAR:RCODE=FDSSHSOUTDEPS&amp;VAR:SDATE=20040999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shs_src_window.fat&amp;display_string=Audit&amp;DYN_ARGS=TRUE&amp;VAR:ID1=58155Q10&amp;VAR:RCODE=FDSSHSOUTDEPS&amp;VAR:SDATE=20000399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50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501__FDSAUDITLINK__" hidden="1">{"fdsup://directions/FAT Viewer?action=UPDATE&amp;creator=factset&amp;DYN_ARGS=TRUE&amp;DOC_NAME=FAT:FQL_AUDITING_CLIENT_TEMPLATE.FAT&amp;display_string=Audit&amp;VAR:KEY=XCLWXUBSTS&amp;VAR:QUERY=RkZfREVCVF9MVChTRU1JLDM5MTg1LDM5MTg1KQ==&amp;WINDOW=FIRST_POPUP&amp;HEIGHT=450&amp;WIDTH=450&amp;STAR","T_MAXIMIZED=FALSE&amp;VAR:CALENDAR=FIVEDAY&amp;VAR:SYMBOL=456486&amp;VAR:INDEX=0"}</definedName>
    <definedName name="_50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50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504__FDSAUDITLINK__" hidden="1">{"fdsup://directions/FAT Viewer?action=UPDATE&amp;creator=factset&amp;DYN_ARGS=TRUE&amp;DOC_NAME=FAT:FQL_AUDITING_CLIENT_TEMPLATE.FAT&amp;display_string=Audit&amp;VAR:KEY=PYNUJIFAFW&amp;VAR:QUERY=RkZfREVCVF9MVChTRU1JLDM5MTc4LDM5MTc4KQ==&amp;WINDOW=FIRST_POPUP&amp;HEIGHT=450&amp;WIDTH=450&amp;STAR","T_MAXIMIZED=FALSE&amp;VAR:CALENDAR=FIVEDAY&amp;VAR:SYMBOL=456486&amp;VAR:INDEX=0"}</definedName>
    <definedName name="_50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50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507__FDSAUDITLINK__" hidden="1">{"fdsup://directions/FAT Viewer?action=UPDATE&amp;creator=factset&amp;DYN_ARGS=TRUE&amp;DOC_NAME=FAT:FQL_AUDITING_CLIENT_TEMPLATE.FAT&amp;display_string=Audit&amp;VAR:KEY=FSZGZCPUJK&amp;VAR:QUERY=RkZfREVCVF9MVChTRU1JLDM5MTcxLDM5MTcxKQ==&amp;WINDOW=FIRST_POPUP&amp;HEIGHT=450&amp;WIDTH=450&amp;STAR","T_MAXIMIZED=FALSE&amp;VAR:CALENDAR=FIVEDAY&amp;VAR:SYMBOL=456486&amp;VAR:INDEX=0"}</definedName>
    <definedName name="_50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50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51__FDSAUDITLINK__" hidden="1">{"fdsup://IBCentral/FAT Viewer?action=UPDATE&amp;creator=factset&amp;DOC_NAME=fat:reuters_annual_shs_src_window.fat&amp;display_string=Audit&amp;DYN_ARGS=TRUE&amp;VAR:ID1=58155Q10&amp;VAR:RCODE=FDSSHSOUTDEPS&amp;VAR:SDATE=19990399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510__FDSAUDITLINK__" hidden="1">{"fdsup://directions/FAT Viewer?action=UPDATE&amp;creator=factset&amp;DYN_ARGS=TRUE&amp;DOC_NAME=FAT:FQL_AUDITING_CLIENT_TEMPLATE.FAT&amp;display_string=Audit&amp;VAR:KEY=XYZWPMLIVQ&amp;VAR:QUERY=RkZfREVCVF9MVChTRU1JLDM5MTY0LDM5MTY0KQ==&amp;WINDOW=FIRST_POPUP&amp;HEIGHT=450&amp;WIDTH=450&amp;STAR","T_MAXIMIZED=FALSE&amp;VAR:CALENDAR=FIVEDAY&amp;VAR:SYMBOL=456486&amp;VAR:INDEX=0"}</definedName>
    <definedName name="_511__FDSAUDITLINK__" hidden="1">{"fdsup://directions/FAT Viewer?action=UPDATE&amp;creator=factset&amp;DYN_ARGS=TRUE&amp;DOC_NAME=FAT:FQL_AUDITING_CLIENT_TEMPLATE.FAT&amp;display_string=Audit&amp;VAR:KEY=ROXCJCFIBI&amp;VAR:QUERY=RkZfREVCVF9MVChTRU1JLDM5MTU3LDM5MTU3KQ==&amp;WINDOW=FIRST_POPUP&amp;HEIGHT=450&amp;WIDTH=450&amp;STAR","T_MAXIMIZED=FALSE&amp;VAR:CALENDAR=FIVEDAY&amp;VAR:SYMBOL=456486&amp;VAR:INDEX=0"}</definedName>
    <definedName name="_512__FDSAUDITLINK__" hidden="1">{"fdsup://directions/FAT Viewer?action=UPDATE&amp;creator=factset&amp;DYN_ARGS=TRUE&amp;DOC_NAME=FAT:FQL_AUDITING_CLIENT_TEMPLATE.FAT&amp;display_string=Audit&amp;VAR:KEY=HAZYFSXUBY&amp;VAR:QUERY=RkZfREVCVF9MVChTRU1JLDM5MTUwLDM5MTUwKQ==&amp;WINDOW=FIRST_POPUP&amp;HEIGHT=450&amp;WIDTH=450&amp;STAR","T_MAXIMIZED=FALSE&amp;VAR:CALENDAR=FIVEDAY&amp;VAR:SYMBOL=456486&amp;VAR:INDEX=0"}</definedName>
    <definedName name="_513__FDSAUDITLINK__" hidden="1">{"fdsup://directions/FAT Viewer?action=UPDATE&amp;creator=factset&amp;DYN_ARGS=TRUE&amp;DOC_NAME=FAT:FQL_AUDITING_CLIENT_TEMPLATE.FAT&amp;display_string=Audit&amp;VAR:KEY=VYDGRSRWTO&amp;VAR:QUERY=RkZfREVCVF9MVChTRU1JLDM5MTQzLDM5MTQzKQ==&amp;WINDOW=FIRST_POPUP&amp;HEIGHT=450&amp;WIDTH=450&amp;STAR","T_MAXIMIZED=FALSE&amp;VAR:CALENDAR=FIVEDAY&amp;VAR:SYMBOL=456486&amp;VAR:INDEX=0"}</definedName>
    <definedName name="_514__FDSAUDITLINK__" hidden="1">{"fdsup://directions/FAT Viewer?action=UPDATE&amp;creator=factset&amp;DYN_ARGS=TRUE&amp;DOC_NAME=FAT:FQL_AUDITING_CLIENT_TEMPLATE.FAT&amp;display_string=Audit&amp;VAR:KEY=XIRAJKBMDO&amp;VAR:QUERY=RkZfREVCVF9MVChTRU1JLDM5MTM2LDM5MTM2KQ==&amp;WINDOW=FIRST_POPUP&amp;HEIGHT=450&amp;WIDTH=450&amp;STAR","T_MAXIMIZED=FALSE&amp;VAR:CALENDAR=FIVEDAY&amp;VAR:SYMBOL=456486&amp;VAR:INDEX=0"}</definedName>
    <definedName name="_515__FDSAUDITLINK__" hidden="1">{"fdsup://directions/FAT Viewer?action=UPDATE&amp;creator=factset&amp;DYN_ARGS=TRUE&amp;DOC_NAME=FAT:FQL_AUDITING_CLIENT_TEMPLATE.FAT&amp;display_string=Audit&amp;VAR:KEY=TEHQFWDSVC&amp;VAR:QUERY=RkZfREVCVF9MVChTRU1JLDM5MTI5LDM5MTI5KQ==&amp;WINDOW=FIRST_POPUP&amp;HEIGHT=450&amp;WIDTH=450&amp;STAR","T_MAXIMIZED=FALSE&amp;VAR:CALENDAR=FIVEDAY&amp;VAR:SYMBOL=456486&amp;VAR:INDEX=0"}</definedName>
    <definedName name="_516__FDSAUDITLINK__" hidden="1">{"fdsup://directions/FAT Viewer?action=UPDATE&amp;creator=factset&amp;DYN_ARGS=TRUE&amp;DOC_NAME=FAT:FQL_AUDITING_CLIENT_TEMPLATE.FAT&amp;display_string=Audit&amp;VAR:KEY=VWXGLCFANM&amp;VAR:QUERY=RkZfREVCVF9MVChTRU1JLDM5MTIyLDM5MTIyKQ==&amp;WINDOW=FIRST_POPUP&amp;HEIGHT=450&amp;WIDTH=450&amp;STAR","T_MAXIMIZED=FALSE&amp;VAR:CALENDAR=FIVEDAY&amp;VAR:SYMBOL=456486&amp;VAR:INDEX=0"}</definedName>
    <definedName name="_517__FDSAUDITLINK__" hidden="1">{"fdsup://directions/FAT Viewer?action=UPDATE&amp;creator=factset&amp;DYN_ARGS=TRUE&amp;DOC_NAME=FAT:FQL_AUDITING_CLIENT_TEMPLATE.FAT&amp;display_string=Audit&amp;VAR:KEY=VWJGZKHCVW&amp;VAR:QUERY=RkZfREVCVF9MVChTRU1JLDM5MTE1LDM5MTE1KQ==&amp;WINDOW=FIRST_POPUP&amp;HEIGHT=450&amp;WIDTH=450&amp;STAR","T_MAXIMIZED=FALSE&amp;VAR:CALENDAR=FIVEDAY&amp;VAR:SYMBOL=456486&amp;VAR:INDEX=0"}</definedName>
    <definedName name="_518__FDSAUDITLINK__" hidden="1">{"fdsup://directions/FAT Viewer?action=UPDATE&amp;creator=factset&amp;DYN_ARGS=TRUE&amp;DOC_NAME=FAT:FQL_AUDITING_CLIENT_TEMPLATE.FAT&amp;display_string=Audit&amp;VAR:KEY=DOFKBIFGRS&amp;VAR:QUERY=RkZfREVCVF9MVChTRU1JLDM5MTA4LDM5MTA4KQ==&amp;WINDOW=FIRST_POPUP&amp;HEIGHT=450&amp;WIDTH=450&amp;STAR","T_MAXIMIZED=FALSE&amp;VAR:CALENDAR=FIVEDAY&amp;VAR:SYMBOL=456486&amp;VAR:INDEX=0"}</definedName>
    <definedName name="_519__FDSAUDITLINK__" hidden="1">{"fdsup://directions/FAT Viewer?action=UPDATE&amp;creator=factset&amp;DYN_ARGS=TRUE&amp;DOC_NAME=FAT:FQL_AUDITING_CLIENT_TEMPLATE.FAT&amp;display_string=Audit&amp;VAR:KEY=JCXKPQDCNI&amp;VAR:QUERY=RkZfREVCVF9MVChTRU1JLDM5MTAxLDM5MTAxKQ==&amp;WINDOW=FIRST_POPUP&amp;HEIGHT=450&amp;WIDTH=450&amp;STAR","T_MAXIMIZED=FALSE&amp;VAR:CALENDAR=FIVEDAY&amp;VAR:SYMBOL=456486&amp;VAR:INDEX=0"}</definedName>
    <definedName name="_52__FDSAUDITLINK__" hidden="1">{"fdsup://IBCentral/FAT Viewer?action=UPDATE&amp;creator=factset&amp;DOC_NAME=fat:reuters_annual_source_window.fat&amp;display_string=Audit&amp;DYN_ARGS=TRUE&amp;VAR:ID1=58155Q10&amp;VAR:RCODE=FCDP&amp;VAR:SDATE=20090399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20__FDSAUDITLINK__" hidden="1">{"fdsup://directions/FAT Viewer?action=UPDATE&amp;creator=factset&amp;DYN_ARGS=TRUE&amp;DOC_NAME=FAT:FQL_AUDITING_CLIENT_TEMPLATE.FAT&amp;display_string=Audit&amp;VAR:KEY=TUBUDQBMNU&amp;VAR:QUERY=RkZfREVCVF9MVChTRU1JLDM5MDk0LDM5MDk0KQ==&amp;WINDOW=FIRST_POPUP&amp;HEIGHT=450&amp;WIDTH=450&amp;STAR","T_MAXIMIZED=FALSE&amp;VAR:CALENDAR=FIVEDAY&amp;VAR:SYMBOL=456486&amp;VAR:INDEX=0"}</definedName>
    <definedName name="_521__FDSAUDITLINK__" hidden="1">{"fdsup://directions/FAT Viewer?action=UPDATE&amp;creator=factset&amp;DYN_ARGS=TRUE&amp;DOC_NAME=FAT:FQL_AUDITING_CLIENT_TEMPLATE.FAT&amp;display_string=Audit&amp;VAR:KEY=TSNERUDKPC&amp;VAR:QUERY=RkZfREVCVF9MVChTRU1JLDM5MDg3LDM5MDg3KQ==&amp;WINDOW=FIRST_POPUP&amp;HEIGHT=450&amp;WIDTH=450&amp;STAR","T_MAXIMIZED=FALSE&amp;VAR:CALENDAR=FIVEDAY&amp;VAR:SYMBOL=456486&amp;VAR:INDEX=0"}</definedName>
    <definedName name="_522__FDSAUDITLINK__" hidden="1">{"fdsup://directions/FAT Viewer?action=UPDATE&amp;creator=factset&amp;DYN_ARGS=TRUE&amp;DOC_NAME=FAT:FQL_AUDITING_CLIENT_TEMPLATE.FAT&amp;display_string=Audit&amp;VAR:KEY=PKNEBQPUPU&amp;VAR:QUERY=RkZfREVCVF9MVChTRU1JLDM5MDgwLDM5MDgwKQ==&amp;WINDOW=FIRST_POPUP&amp;HEIGHT=450&amp;WIDTH=450&amp;STAR","T_MAXIMIZED=FALSE&amp;VAR:CALENDAR=FIVEDAY&amp;VAR:SYMBOL=456486&amp;VAR:INDEX=0"}</definedName>
    <definedName name="_523__FDSAUDITLINK__" hidden="1">{"fdsup://directions/FAT Viewer?action=UPDATE&amp;creator=factset&amp;DYN_ARGS=TRUE&amp;DOC_NAME=FAT:FQL_AUDITING_CLIENT_TEMPLATE.FAT&amp;display_string=Audit&amp;VAR:KEY=VEFELCNQBU&amp;VAR:QUERY=RkZfREVCVF9MVChTRU1JLDM5MDczLDM5MDczKQ==&amp;WINDOW=FIRST_POPUP&amp;HEIGHT=450&amp;WIDTH=450&amp;STAR","T_MAXIMIZED=FALSE&amp;VAR:CALENDAR=FIVEDAY&amp;VAR:SYMBOL=456486&amp;VAR:INDEX=0"}</definedName>
    <definedName name="_524__FDSAUDITLINK__" hidden="1">{"fdsup://directions/FAT Viewer?action=UPDATE&amp;creator=factset&amp;DYN_ARGS=TRUE&amp;DOC_NAME=FAT:FQL_AUDITING_CLIENT_TEMPLATE.FAT&amp;display_string=Audit&amp;VAR:KEY=NCVSPQBKZC&amp;VAR:QUERY=RkZfREVCVF9MVChTRU1JLDM5MDY2LDM5MDY2KQ==&amp;WINDOW=FIRST_POPUP&amp;HEIGHT=450&amp;WIDTH=450&amp;STAR","T_MAXIMIZED=FALSE&amp;VAR:CALENDAR=FIVEDAY&amp;VAR:SYMBOL=456486&amp;VAR:INDEX=0"}</definedName>
    <definedName name="_525__FDSAUDITLINK__" hidden="1">{"fdsup://directions/FAT Viewer?action=UPDATE&amp;creator=factset&amp;DYN_ARGS=TRUE&amp;DOC_NAME=FAT:FQL_AUDITING_CLIENT_TEMPLATE.FAT&amp;display_string=Audit&amp;VAR:KEY=DEDMJAHYDW&amp;VAR:QUERY=RkZfREVCVF9MVChTRU1JLDM5MDU5LDM5MDU5KQ==&amp;WINDOW=FIRST_POPUP&amp;HEIGHT=450&amp;WIDTH=450&amp;STAR","T_MAXIMIZED=FALSE&amp;VAR:CALENDAR=FIVEDAY&amp;VAR:SYMBOL=456486&amp;VAR:INDEX=0"}</definedName>
    <definedName name="_526__FDSAUDITLINK__" hidden="1">{"fdsup://directions/FAT Viewer?action=UPDATE&amp;creator=factset&amp;DYN_ARGS=TRUE&amp;DOC_NAME=FAT:FQL_AUDITING_CLIENT_TEMPLATE.FAT&amp;display_string=Audit&amp;VAR:KEY=DIFOXONGPE&amp;VAR:QUERY=RkZfREVCVF9MVChTRU1JLDM5MDUyLDM5MDUyKQ==&amp;WINDOW=FIRST_POPUP&amp;HEIGHT=450&amp;WIDTH=450&amp;STAR","T_MAXIMIZED=FALSE&amp;VAR:CALENDAR=FIVEDAY&amp;VAR:SYMBOL=456486&amp;VAR:INDEX=0"}</definedName>
    <definedName name="_527__FDSAUDITLINK__" hidden="1">{"fdsup://directions/FAT Viewer?action=UPDATE&amp;creator=factset&amp;DYN_ARGS=TRUE&amp;DOC_NAME=FAT:FQL_AUDITING_CLIENT_TEMPLATE.FAT&amp;display_string=Audit&amp;VAR:KEY=BMZGFQJKBG&amp;VAR:QUERY=RkZfREVCVF9MVChTRU1JLDM5MDQ1LDM5MDQ1KQ==&amp;WINDOW=FIRST_POPUP&amp;HEIGHT=450&amp;WIDTH=450&amp;STAR","T_MAXIMIZED=FALSE&amp;VAR:CALENDAR=FIVEDAY&amp;VAR:SYMBOL=456486&amp;VAR:INDEX=0"}</definedName>
    <definedName name="_528__FDSAUDITLINK__" hidden="1">{"fdsup://directions/FAT Viewer?action=UPDATE&amp;creator=factset&amp;DYN_ARGS=TRUE&amp;DOC_NAME=FAT:FQL_AUDITING_CLIENT_TEMPLATE.FAT&amp;display_string=Audit&amp;VAR:KEY=XQVOTIBGPO&amp;VAR:QUERY=RkZfREVCVF9MVChTRU1JLDM5MDM4LDM5MDM4KQ==&amp;WINDOW=FIRST_POPUP&amp;HEIGHT=450&amp;WIDTH=450&amp;STAR","T_MAXIMIZED=FALSE&amp;VAR:CALENDAR=FIVEDAY&amp;VAR:SYMBOL=456486&amp;VAR:INDEX=0"}</definedName>
    <definedName name="_529__FDSAUDITLINK__" hidden="1">{"fdsup://directions/FAT Viewer?action=UPDATE&amp;creator=factset&amp;DYN_ARGS=TRUE&amp;DOC_NAME=FAT:FQL_AUDITING_CLIENT_TEMPLATE.FAT&amp;display_string=Audit&amp;VAR:KEY=PUBGDWRCPQ&amp;VAR:QUERY=RkZfREVCVF9MVChTRU1JLDM5MDMxLDM5MDMxKQ==&amp;WINDOW=FIRST_POPUP&amp;HEIGHT=450&amp;WIDTH=450&amp;STAR","T_MAXIMIZED=FALSE&amp;VAR:CALENDAR=FIVEDAY&amp;VAR:SYMBOL=456486&amp;VAR:INDEX=0"}</definedName>
    <definedName name="_53__FDSAUDITLINK__" hidden="1">{"fdsup://IBCentral/FAT Viewer?action=UPDATE&amp;creator=factset&amp;DOC_NAME=fat:reuters_annual_source_window.fat&amp;display_string=Audit&amp;DYN_ARGS=TRUE&amp;VAR:ID1=58155Q10&amp;VAR:RCODE=FCDP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30__FDSAUDITLINK__" hidden="1">{"fdsup://directions/FAT Viewer?action=UPDATE&amp;creator=factset&amp;DYN_ARGS=TRUE&amp;DOC_NAME=FAT:FQL_AUDITING_CLIENT_TEMPLATE.FAT&amp;display_string=Audit&amp;VAR:KEY=JMPAHQXQVA&amp;VAR:QUERY=RkZfREVCVF9MVChTRU1JLDQwMzI2LDQwMzI2KQ==&amp;WINDOW=FIRST_POPUP&amp;HEIGHT=450&amp;WIDTH=450&amp;STAR","T_MAXIMIZED=FALSE&amp;VAR:CALENDAR=FIVEDAY&amp;VAR:SYMBOL=456486&amp;VAR:INDEX=0"}</definedName>
    <definedName name="_53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3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33__FDSAUDITLINK__" hidden="1">{"fdsup://directions/FAT Viewer?action=UPDATE&amp;creator=factset&amp;DYN_ARGS=TRUE&amp;DOC_NAME=FAT:FQL_AUDITING_CLIENT_TEMPLATE.FAT&amp;display_string=Audit&amp;VAR:KEY=TYLMZEVKTY&amp;VAR:QUERY=RkZfREVCVF9MVChTRU1JLDQwMzE5LDQwMzE5KQ==&amp;WINDOW=FIRST_POPUP&amp;HEIGHT=450&amp;WIDTH=450&amp;STAR","T_MAXIMIZED=FALSE&amp;VAR:CALENDAR=FIVEDAY&amp;VAR:SYMBOL=456486&amp;VAR:INDEX=0"}</definedName>
    <definedName name="_53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36__FDSAUDITLINK__" hidden="1">{"fdsup://directions/FAT Viewer?action=UPDATE&amp;creator=factset&amp;DYN_ARGS=TRUE&amp;DOC_NAME=FAT:FQL_AUDITING_CLIENT_TEMPLATE.FAT&amp;display_string=Audit&amp;VAR:KEY=FMFARGREDI&amp;VAR:QUERY=RkZfREVCVF9MVChTRU1JLDQwMzEyLDQwMzEyKQ==&amp;WINDOW=FIRST_POPUP&amp;HEIGHT=450&amp;WIDTH=450&amp;STAR","T_MAXIMIZED=FALSE&amp;VAR:CALENDAR=FIVEDAY&amp;VAR:SYMBOL=456486&amp;VAR:INDEX=0"}</definedName>
    <definedName name="_537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38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39__FDSAUDITLINK__" hidden="1">{"fdsup://directions/FAT Viewer?action=UPDATE&amp;creator=factset&amp;DYN_ARGS=TRUE&amp;DOC_NAME=FAT:FQL_AUDITING_CLIENT_TEMPLATE.FAT&amp;display_string=Audit&amp;VAR:KEY=FKVCFETKLG&amp;VAR:QUERY=RkZfREVCVF9MVChTRU1JLDQwMzA1LDQwMzA1KQ==&amp;WINDOW=FIRST_POPUP&amp;HEIGHT=450&amp;WIDTH=450&amp;STAR","T_MAXIMIZED=FALSE&amp;VAR:CALENDAR=FIVEDAY&amp;VAR:SYMBOL=456486&amp;VAR:INDEX=0"}</definedName>
    <definedName name="_54__FDSAUDITLINK__" hidden="1">{"fdsup://IBCentral/FAT Viewer?action=UPDATE&amp;creator=factset&amp;DOC_NAME=fat:reuters_annual_source_window.fat&amp;display_string=Audit&amp;DYN_ARGS=TRUE&amp;VAR:ID1=58155Q10&amp;VAR:RCODE=FCDP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0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41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42__FDSAUDITLINK__" hidden="1">{"fdsup://directions/FAT Viewer?action=UPDATE&amp;creator=factset&amp;DYN_ARGS=TRUE&amp;DOC_NAME=FAT:FQL_AUDITING_CLIENT_TEMPLATE.FAT&amp;display_string=Audit&amp;VAR:KEY=RWTSZIBKRM&amp;VAR:QUERY=RkZfREVCVF9MVChTRU1JLDQwMjk4LDQwMjk4KQ==&amp;WINDOW=FIRST_POPUP&amp;HEIGHT=450&amp;WIDTH=450&amp;STAR","T_MAXIMIZED=FALSE&amp;VAR:CALENDAR=FIVEDAY&amp;VAR:SYMBOL=456486&amp;VAR:INDEX=0"}</definedName>
    <definedName name="_543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44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45__FDSAUDITLINK__" hidden="1">{"fdsup://directions/FAT Viewer?action=UPDATE&amp;creator=factset&amp;DYN_ARGS=TRUE&amp;DOC_NAME=FAT:FQL_AUDITING_CLIENT_TEMPLATE.FAT&amp;display_string=Audit&amp;VAR:KEY=NQLAROLQDE&amp;VAR:QUERY=RkZfREVCVF9MVChTRU1JLDQwMjkxLDQwMjkxKQ==&amp;WINDOW=FIRST_POPUP&amp;HEIGHT=450&amp;WIDTH=450&amp;STAR","T_MAXIMIZED=FALSE&amp;VAR:CALENDAR=FIVEDAY&amp;VAR:SYMBOL=456486&amp;VAR:INDEX=0"}</definedName>
    <definedName name="_546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48__FDSAUDITLINK__" hidden="1">{"fdsup://directions/FAT Viewer?action=UPDATE&amp;creator=factset&amp;DYN_ARGS=TRUE&amp;DOC_NAME=FAT:FQL_AUDITING_CLIENT_TEMPLATE.FAT&amp;display_string=Audit&amp;VAR:KEY=BERGVOVIXA&amp;VAR:QUERY=RkZfREVCVF9MVChTRU1JLDQwMjg0LDQwMjg0KQ==&amp;WINDOW=FIRST_POPUP&amp;HEIGHT=450&amp;WIDTH=450&amp;STAR","T_MAXIMIZED=FALSE&amp;VAR:CALENDAR=FIVEDAY&amp;VAR:SYMBOL=456486&amp;VAR:INDEX=0"}</definedName>
    <definedName name="_549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5__FDSAUDITLINK__" hidden="1">{"fdsup://IBCentral/FAT Viewer?action=UPDATE&amp;creator=factset&amp;DOC_NAME=fat:reuters_annual_source_window.fat&amp;display_string=Audit&amp;DYN_ARGS=TRUE&amp;VAR:ID1=58155Q10&amp;VAR:RCODE=FCDP&amp;VAR:SDATE=20060399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0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51__FDSAUDITLINK__" hidden="1">{"fdsup://directions/FAT Viewer?action=UPDATE&amp;creator=factset&amp;DYN_ARGS=TRUE&amp;DOC_NAME=FAT:FQL_AUDITING_CLIENT_TEMPLATE.FAT&amp;display_string=Audit&amp;VAR:KEY=VMJOLGVUDC&amp;VAR:QUERY=RkZfREVCVF9MVChTRU1JLDQwMjc3LDQwMjc3KQ==&amp;WINDOW=FIRST_POPUP&amp;HEIGHT=450&amp;WIDTH=450&amp;STAR","T_MAXIMIZED=FALSE&amp;VAR:CALENDAR=FIVEDAY&amp;VAR:SYMBOL=456486&amp;VAR:INDEX=0"}</definedName>
    <definedName name="_552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53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54__FDSAUDITLINK__" hidden="1">{"fdsup://directions/FAT Viewer?action=UPDATE&amp;creator=factset&amp;DYN_ARGS=TRUE&amp;DOC_NAME=FAT:FQL_AUDITING_CLIENT_TEMPLATE.FAT&amp;display_string=Audit&amp;VAR:KEY=VEDWPMBKTK&amp;VAR:QUERY=RkZfREVCVF9MVChTRU1JLDQwMjcwLDQwMjcwKQ==&amp;WINDOW=FIRST_POPUP&amp;HEIGHT=450&amp;WIDTH=450&amp;STAR","T_MAXIMIZED=FALSE&amp;VAR:CALENDAR=FIVEDAY&amp;VAR:SYMBOL=456486&amp;VAR:INDEX=0"}</definedName>
    <definedName name="_555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56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57__FDSAUDITLINK__" hidden="1">{"fdsup://directions/FAT Viewer?action=UPDATE&amp;creator=factset&amp;DYN_ARGS=TRUE&amp;DOC_NAME=FAT:FQL_AUDITING_CLIENT_TEMPLATE.FAT&amp;display_string=Audit&amp;VAR:KEY=BWHUJINQXW&amp;VAR:QUERY=RkZfREVCVF9MVChTRU1JLDQwMjYzLDQwMjYzKQ==&amp;WINDOW=FIRST_POPUP&amp;HEIGHT=450&amp;WIDTH=450&amp;STAR","T_MAXIMIZED=FALSE&amp;VAR:CALENDAR=FIVEDAY&amp;VAR:SYMBOL=456486&amp;VAR:INDEX=0"}</definedName>
    <definedName name="_558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59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6__FDSAUDITLINK__" hidden="1">{"fdsup://IBCentral/FAT Viewer?action=UPDATE&amp;creator=factset&amp;DOC_NAME=fat:reuters_annual_source_window.fat&amp;display_string=Audit&amp;DYN_ARGS=TRUE&amp;VAR:ID1=58155Q10&amp;VAR:RCODE=FCDP&amp;VAR:SDATE=20050399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0__FDSAUDITLINK__" hidden="1">{"fdsup://directions/FAT Viewer?action=UPDATE&amp;creator=factset&amp;DYN_ARGS=TRUE&amp;DOC_NAME=FAT:FQL_AUDITING_CLIENT_TEMPLATE.FAT&amp;display_string=Audit&amp;VAR:KEY=XGXOVOLWPE&amp;VAR:QUERY=RkZfREVCVF9MVChTRU1JLDQwMjU2LDQwMjU2KQ==&amp;WINDOW=FIRST_POPUP&amp;HEIGHT=450&amp;WIDTH=450&amp;STAR","T_MAXIMIZED=FALSE&amp;VAR:CALENDAR=FIVEDAY&amp;VAR:SYMBOL=456486&amp;VAR:INDEX=0"}</definedName>
    <definedName name="_56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6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63__FDSAUDITLINK__" hidden="1">{"fdsup://directions/FAT Viewer?action=UPDATE&amp;creator=factset&amp;DYN_ARGS=TRUE&amp;DOC_NAME=FAT:FQL_AUDITING_CLIENT_TEMPLATE.FAT&amp;display_string=Audit&amp;VAR:KEY=XIVQXQZSLM&amp;VAR:QUERY=RkZfREVCVF9MVChTRU1JLDQwMjQ5LDQwMjQ5KQ==&amp;WINDOW=FIRST_POPUP&amp;HEIGHT=450&amp;WIDTH=450&amp;STAR","T_MAXIMIZED=FALSE&amp;VAR:CALENDAR=FIVEDAY&amp;VAR:SYMBOL=456486&amp;VAR:INDEX=0"}</definedName>
    <definedName name="_56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6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66__FDSAUDITLINK__" hidden="1">{"fdsup://directions/FAT Viewer?action=UPDATE&amp;creator=factset&amp;DYN_ARGS=TRUE&amp;DOC_NAME=FAT:FQL_AUDITING_CLIENT_TEMPLATE.FAT&amp;display_string=Audit&amp;VAR:KEY=VEPGRERCTC&amp;VAR:QUERY=RkZfREVCVF9MVChTRU1JLDQwMjQyLDQwMjQyKQ==&amp;WINDOW=FIRST_POPUP&amp;HEIGHT=450&amp;WIDTH=450&amp;STAR","T_MAXIMIZED=FALSE&amp;VAR:CALENDAR=FIVEDAY&amp;VAR:SYMBOL=456486&amp;VAR:INDEX=0"}</definedName>
    <definedName name="_567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68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69__FDSAUDITLINK__" hidden="1">{"fdsup://directions/FAT Viewer?action=UPDATE&amp;creator=factset&amp;DYN_ARGS=TRUE&amp;DOC_NAME=FAT:FQL_AUDITING_CLIENT_TEMPLATE.FAT&amp;display_string=Audit&amp;VAR:KEY=PUVIFWVKZQ&amp;VAR:QUERY=RkZfREVCVF9MVChTRU1JLDQwMjM1LDQwMjM1KQ==&amp;WINDOW=FIRST_POPUP&amp;HEIGHT=450&amp;WIDTH=450&amp;STAR","T_MAXIMIZED=FALSE&amp;VAR:CALENDAR=FIVEDAY&amp;VAR:SYMBOL=456486&amp;VAR:INDEX=0"}</definedName>
    <definedName name="_57__FDSAUDITLINK__" hidden="1">{"fdsup://IBCentral/FAT Viewer?action=UPDATE&amp;creator=factset&amp;DOC_NAME=fat:reuters_annual_source_window.fat&amp;display_string=Audit&amp;DYN_ARGS=TRUE&amp;VAR:ID1=58155Q10&amp;VAR:RCODE=FCDP&amp;VAR:SDATE=20040399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70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71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72__FDSAUDITLINK__" hidden="1">{"fdsup://directions/FAT Viewer?action=UPDATE&amp;creator=factset&amp;DYN_ARGS=TRUE&amp;DOC_NAME=FAT:FQL_AUDITING_CLIENT_TEMPLATE.FAT&amp;display_string=Audit&amp;VAR:KEY=PSPYLEPQDY&amp;VAR:QUERY=RkZfREVCVF9MVChTRU1JLDQwMjI4LDQwMjI4KQ==&amp;WINDOW=FIRST_POPUP&amp;HEIGHT=450&amp;WIDTH=450&amp;STAR","T_MAXIMIZED=FALSE&amp;VAR:CALENDAR=FIVEDAY&amp;VAR:SYMBOL=456486&amp;VAR:INDEX=0"}</definedName>
    <definedName name="_573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74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75__FDSAUDITLINK__" hidden="1">{"fdsup://directions/FAT Viewer?action=UPDATE&amp;creator=factset&amp;DYN_ARGS=TRUE&amp;DOC_NAME=FAT:FQL_AUDITING_CLIENT_TEMPLATE.FAT&amp;display_string=Audit&amp;VAR:KEY=RWNYBQFSZC&amp;VAR:QUERY=RkZfREVCVF9MVChTRU1JLDQwMjIxLDQwMjIxKQ==&amp;WINDOW=FIRST_POPUP&amp;HEIGHT=450&amp;WIDTH=450&amp;STAR","T_MAXIMIZED=FALSE&amp;VAR:CALENDAR=FIVEDAY&amp;VAR:SYMBOL=456486&amp;VAR:INDEX=0"}</definedName>
    <definedName name="_576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77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78__FDSAUDITLINK__" hidden="1">{"fdsup://directions/FAT Viewer?action=UPDATE&amp;creator=factset&amp;DYN_ARGS=TRUE&amp;DOC_NAME=FAT:FQL_AUDITING_CLIENT_TEMPLATE.FAT&amp;display_string=Audit&amp;VAR:KEY=ZGXGBEBEFC&amp;VAR:QUERY=RkZfREVCVF9MVChTRU1JLDQwMjE0LDQwMjE0KQ==&amp;WINDOW=FIRST_POPUP&amp;HEIGHT=450&amp;WIDTH=450&amp;STAR","T_MAXIMIZED=FALSE&amp;VAR:CALENDAR=FIVEDAY&amp;VAR:SYMBOL=456486&amp;VAR:INDEX=0"}</definedName>
    <definedName name="_579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8__FDSAUDITLINK__" hidden="1">{"fdsup://IBCentral/FAT Viewer?action=UPDATE&amp;creator=factset&amp;DOC_NAME=fat:reuters_annual_source_window.fat&amp;display_string=Audit&amp;DYN_ARGS=TRUE&amp;VAR:ID1=58155Q10&amp;VAR:RCODE=FCDP&amp;VAR:SDATE=20030399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0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81__FDSAUDITLINK__" hidden="1">{"fdsup://directions/FAT Viewer?action=UPDATE&amp;creator=factset&amp;DYN_ARGS=TRUE&amp;DOC_NAME=FAT:FQL_AUDITING_CLIENT_TEMPLATE.FAT&amp;display_string=Audit&amp;VAR:KEY=PAJODGPSFC&amp;VAR:QUERY=RkZfREVCVF9MVChTRU1JLDQwMjA3LDQwMjA3KQ==&amp;WINDOW=FIRST_POPUP&amp;HEIGHT=450&amp;WIDTH=450&amp;STAR","T_MAXIMIZED=FALSE&amp;VAR:CALENDAR=FIVEDAY&amp;VAR:SYMBOL=456486&amp;VAR:INDEX=0"}</definedName>
    <definedName name="_582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83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84__FDSAUDITLINK__" hidden="1">{"fdsup://directions/FAT Viewer?action=UPDATE&amp;creator=factset&amp;DYN_ARGS=TRUE&amp;DOC_NAME=FAT:FQL_AUDITING_CLIENT_TEMPLATE.FAT&amp;display_string=Audit&amp;VAR:KEY=LSRAFAXYLC&amp;VAR:QUERY=RkZfREVCVF9MVChTRU1JLDQwMjAwLDQwMjAwKQ==&amp;WINDOW=FIRST_POPUP&amp;HEIGHT=450&amp;WIDTH=450&amp;STAR","T_MAXIMIZED=FALSE&amp;VAR:CALENDAR=FIVEDAY&amp;VAR:SYMBOL=456486&amp;VAR:INDEX=0"}</definedName>
    <definedName name="_585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86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87__FDSAUDITLINK__" hidden="1">{"fdsup://directions/FAT Viewer?action=UPDATE&amp;creator=factset&amp;DYN_ARGS=TRUE&amp;DOC_NAME=FAT:FQL_AUDITING_CLIENT_TEMPLATE.FAT&amp;display_string=Audit&amp;VAR:KEY=JSBYJWJEHQ&amp;VAR:QUERY=RkZfREVCVF9MVChTRU1JLDQwMTkzLDQwMTkzKQ==&amp;WINDOW=FIRST_POPUP&amp;HEIGHT=450&amp;WIDTH=450&amp;STAR","T_MAXIMIZED=FALSE&amp;VAR:CALENDAR=FIVEDAY&amp;VAR:SYMBOL=456486&amp;VAR:INDEX=0"}</definedName>
    <definedName name="_588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89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9__FDSAUDITLINK__" hidden="1">{"fdsup://IBCentral/FAT Viewer?action=UPDATE&amp;creator=factset&amp;DOC_NAME=fat:reuters_annual_source_window.fat&amp;display_string=Audit&amp;DYN_ARGS=TRUE&amp;VAR:ID1=58155Q10&amp;VAR:RCODE=FCDP&amp;VAR:SDATE=20020399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0__FDSAUDITLINK__" hidden="1">{"fdsup://directions/FAT Viewer?action=UPDATE&amp;creator=factset&amp;DYN_ARGS=TRUE&amp;DOC_NAME=FAT:FQL_AUDITING_CLIENT_TEMPLATE.FAT&amp;display_string=Audit&amp;VAR:KEY=ZORAJQJCZO&amp;VAR:QUERY=RkZfREVCVF9MVChTRU1JLDQwMTg2LDQwMTg2KQ==&amp;WINDOW=FIRST_POPUP&amp;HEIGHT=450&amp;WIDTH=450&amp;STAR","T_MAXIMIZED=FALSE&amp;VAR:CALENDAR=FIVEDAY&amp;VAR:SYMBOL=456486&amp;VAR:INDEX=0"}</definedName>
    <definedName name="_59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9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93__FDSAUDITLINK__" hidden="1">{"fdsup://directions/FAT Viewer?action=UPDATE&amp;creator=factset&amp;DYN_ARGS=TRUE&amp;DOC_NAME=FAT:FQL_AUDITING_CLIENT_TEMPLATE.FAT&amp;display_string=Audit&amp;VAR:KEY=XYTEBANYZY&amp;VAR:QUERY=RkZfREVCVF9MVChTRU1JLDQwMTc5LDQwMTc5KQ==&amp;WINDOW=FIRST_POPUP&amp;HEIGHT=450&amp;WIDTH=450&amp;STAR","T_MAXIMIZED=FALSE&amp;VAR:CALENDAR=FIVEDAY&amp;VAR:SYMBOL=456486&amp;VAR:INDEX=0"}</definedName>
    <definedName name="_59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9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96__FDSAUDITLINK__" hidden="1">{"fdsup://directions/FAT Viewer?action=UPDATE&amp;creator=factset&amp;DYN_ARGS=TRUE&amp;DOC_NAME=FAT:FQL_AUDITING_CLIENT_TEMPLATE.FAT&amp;display_string=Audit&amp;VAR:KEY=JEVELURMLA&amp;VAR:QUERY=RkZfREVCVF9MVChTRU1JLDQwMTcyLDQwMTcyKQ==&amp;WINDOW=FIRST_POPUP&amp;HEIGHT=450&amp;WIDTH=450&amp;STAR","T_MAXIMIZED=FALSE&amp;VAR:CALENDAR=FIVEDAY&amp;VAR:SYMBOL=456486&amp;VAR:INDEX=0"}</definedName>
    <definedName name="_597__FDSAUDITLINK__" hidden="1">{"fdsup://directions/FAT Viewer?action=UPDATE&amp;creator=factset&amp;DYN_ARGS=TRUE&amp;DOC_NAME=FAT:FQL_AUDITING_CLIENT_TEMPLATE.FAT&amp;display_string=Audit&amp;VAR:KEY=TKVSHEPYLC&amp;VAR:QUERY=RkZfREVCVF9MVChTRU1JLDQwMTY1LDQwMTY1KQ==&amp;WINDOW=FIRST_POPUP&amp;HEIGHT=450&amp;WIDTH=450&amp;STAR","T_MAXIMIZED=FALSE&amp;VAR:CALENDAR=FIVEDAY&amp;VAR:SYMBOL=456486&amp;VAR:INDEX=0"}</definedName>
    <definedName name="_598__FDSAUDITLINK__" hidden="1">{"fdsup://directions/FAT Viewer?action=UPDATE&amp;creator=factset&amp;DYN_ARGS=TRUE&amp;DOC_NAME=FAT:FQL_AUDITING_CLIENT_TEMPLATE.FAT&amp;display_string=Audit&amp;VAR:KEY=XOVKRORYVK&amp;VAR:QUERY=RkZfREVCVF9MVChTRU1JLDQwMTU4LDQwMTU4KQ==&amp;WINDOW=FIRST_POPUP&amp;HEIGHT=450&amp;WIDTH=450&amp;STAR","T_MAXIMIZED=FALSE&amp;VAR:CALENDAR=FIVEDAY&amp;VAR:SYMBOL=456486&amp;VAR:INDEX=0"}</definedName>
    <definedName name="_599__FDSAUDITLINK__" hidden="1">{"fdsup://directions/FAT Viewer?action=UPDATE&amp;creator=factset&amp;DYN_ARGS=TRUE&amp;DOC_NAME=FAT:FQL_AUDITING_CLIENT_TEMPLATE.FAT&amp;display_string=Audit&amp;VAR:KEY=XMTKDATONI&amp;VAR:QUERY=RkZfREVCVF9MVChTRU1JLDQwMTUxLDQwMTUxKQ==&amp;WINDOW=FIRST_POPUP&amp;HEIGHT=450&amp;WIDTH=450&amp;STAR","T_MAXIMIZED=FALSE&amp;VAR:CALENDAR=FIVEDAY&amp;VAR:SYMBOL=456486&amp;VAR:INDEX=0"}</definedName>
    <definedName name="_6__FDSAUDITLINK__" hidden="1">{"fdsup://IBCentral/FAT Viewer?action=UPDATE&amp;creator=factset&amp;DOC_NAME=fat:reuters_annual_shs_src_window.fat&amp;display_string=Audit&amp;DYN_ARGS=TRUE&amp;VAR:ID1=03073E10&amp;VAR:RCODE=FDSSHSOUTDEPS&amp;VAR:SDATE=20030999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58155Q10&amp;VAR:RCODE=FCDP&amp;VAR:SDATE=20010399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__FDSAUDITLINK__" hidden="1">{"fdsup://directions/FAT Viewer?action=UPDATE&amp;creator=factset&amp;DYN_ARGS=TRUE&amp;DOC_NAME=FAT:FQL_AUDITING_CLIENT_TEMPLATE.FAT&amp;display_string=Audit&amp;VAR:KEY=PWVAFKRWVG&amp;VAR:QUERY=RkZfREVCVF9MVChTRU1JLDQwMTQ0LDQwMTQ0KQ==&amp;WINDOW=FIRST_POPUP&amp;HEIGHT=450&amp;WIDTH=450&amp;STAR","T_MAXIMIZED=FALSE&amp;VAR:CALENDAR=FIVEDAY&amp;VAR:SYMBOL=456486&amp;VAR:INDEX=0"}</definedName>
    <definedName name="_601__FDSAUDITLINK__" hidden="1">{"fdsup://directions/FAT Viewer?action=UPDATE&amp;creator=factset&amp;DYN_ARGS=TRUE&amp;DOC_NAME=FAT:FQL_AUDITING_CLIENT_TEMPLATE.FAT&amp;display_string=Audit&amp;VAR:KEY=ZGVONIRCTU&amp;VAR:QUERY=RkZfREVCVF9MVChTRU1JLDQwMTM3LDQwMTM3KQ==&amp;WINDOW=FIRST_POPUP&amp;HEIGHT=450&amp;WIDTH=450&amp;STAR","T_MAXIMIZED=FALSE&amp;VAR:CALENDAR=FIVEDAY&amp;VAR:SYMBOL=456486&amp;VAR:INDEX=0"}</definedName>
    <definedName name="_602__FDSAUDITLINK__" hidden="1">{"fdsup://directions/FAT Viewer?action=UPDATE&amp;creator=factset&amp;DYN_ARGS=TRUE&amp;DOC_NAME=FAT:FQL_AUDITING_CLIENT_TEMPLATE.FAT&amp;display_string=Audit&amp;VAR:KEY=FQVKLSHGVA&amp;VAR:QUERY=RkZfREVCVF9MVChTRU1JLDQwMTMwLDQwMTMwKQ==&amp;WINDOW=FIRST_POPUP&amp;HEIGHT=450&amp;WIDTH=450&amp;STAR","T_MAXIMIZED=FALSE&amp;VAR:CALENDAR=FIVEDAY&amp;VAR:SYMBOL=456486&amp;VAR:INDEX=0"}</definedName>
    <definedName name="_603__FDSAUDITLINK__" hidden="1">{"fdsup://directions/FAT Viewer?action=UPDATE&amp;creator=factset&amp;DYN_ARGS=TRUE&amp;DOC_NAME=FAT:FQL_AUDITING_CLIENT_TEMPLATE.FAT&amp;display_string=Audit&amp;VAR:KEY=NQHSXETYFU&amp;VAR:QUERY=RkZfREVCVF9MVChTRU1JLDQwMTIzLDQwMTIzKQ==&amp;WINDOW=FIRST_POPUP&amp;HEIGHT=450&amp;WIDTH=450&amp;STAR","T_MAXIMIZED=FALSE&amp;VAR:CALENDAR=FIVEDAY&amp;VAR:SYMBOL=456486&amp;VAR:INDEX=0"}</definedName>
    <definedName name="_604__FDSAUDITLINK__" hidden="1">{"fdsup://directions/FAT Viewer?action=UPDATE&amp;creator=factset&amp;DYN_ARGS=TRUE&amp;DOC_NAME=FAT:FQL_AUDITING_CLIENT_TEMPLATE.FAT&amp;display_string=Audit&amp;VAR:KEY=PEDIZGZGVQ&amp;VAR:QUERY=RkZfREVCVF9MVChRVFIsNDAwODgsNDAwODgp&amp;WINDOW=FIRST_POPUP&amp;HEIGHT=450&amp;WIDTH=450&amp;START_MA","XIMIZED=FALSE&amp;VAR:CALENDAR=FIVEDAY&amp;VAR:SYMBOL=455710&amp;VAR:INDEX=0"}</definedName>
    <definedName name="_605__FDSAUDITLINK__" hidden="1">{"fdsup://directions/FAT Viewer?action=UPDATE&amp;creator=factset&amp;DYN_ARGS=TRUE&amp;DOC_NAME=FAT:FQL_AUDITING_CLIENT_TEMPLATE.FAT&amp;display_string=Audit&amp;VAR:KEY=XCHSTYJYBE&amp;VAR:QUERY=RkZfREVCVF9MVChRVFIsNDAwODEsNDAwODEp&amp;WINDOW=FIRST_POPUP&amp;HEIGHT=450&amp;WIDTH=450&amp;START_MA","XIMIZED=FALSE&amp;VAR:CALENDAR=FIVEDAY&amp;VAR:SYMBOL=455710&amp;VAR:INDEX=0"}</definedName>
    <definedName name="_606__FDSAUDITLINK__" hidden="1">{"fdsup://directions/FAT Viewer?action=UPDATE&amp;creator=factset&amp;DYN_ARGS=TRUE&amp;DOC_NAME=FAT:FQL_AUDITING_CLIENT_TEMPLATE.FAT&amp;display_string=Audit&amp;VAR:KEY=RQZKDALSTG&amp;VAR:QUERY=RkZfREVCVF9MVChRVFIsNDAwNzQsNDAwNzQp&amp;WINDOW=FIRST_POPUP&amp;HEIGHT=450&amp;WIDTH=450&amp;START_MA","XIMIZED=FALSE&amp;VAR:CALENDAR=FIVEDAY&amp;VAR:SYMBOL=455710&amp;VAR:INDEX=0"}</definedName>
    <definedName name="_607__FDSAUDITLINK__" hidden="1">{"fdsup://directions/FAT Viewer?action=UPDATE&amp;creator=factset&amp;DYN_ARGS=TRUE&amp;DOC_NAME=FAT:FQL_AUDITING_CLIENT_TEMPLATE.FAT&amp;display_string=Audit&amp;VAR:KEY=DMDWJCBQRO&amp;VAR:QUERY=RkZfREVCVF9MVChRVFIsNDAwNjcsNDAwNjcp&amp;WINDOW=FIRST_POPUP&amp;HEIGHT=450&amp;WIDTH=450&amp;START_MA","XIMIZED=FALSE&amp;VAR:CALENDAR=FIVEDAY&amp;VAR:SYMBOL=455710&amp;VAR:INDEX=0"}</definedName>
    <definedName name="_608__FDSAUDITLINK__" hidden="1">{"fdsup://directions/FAT Viewer?action=UPDATE&amp;creator=factset&amp;DYN_ARGS=TRUE&amp;DOC_NAME=FAT:FQL_AUDITING_CLIENT_TEMPLATE.FAT&amp;display_string=Audit&amp;VAR:KEY=FUHEJADGJE&amp;VAR:QUERY=RkZfREVCVF9MVChRVFIsNDAwNjAsNDAwNjAp&amp;WINDOW=FIRST_POPUP&amp;HEIGHT=450&amp;WIDTH=450&amp;START_MA","XIMIZED=FALSE&amp;VAR:CALENDAR=FIVEDAY&amp;VAR:SYMBOL=455710&amp;VAR:INDEX=0"}</definedName>
    <definedName name="_609__FDSAUDITLINK__" hidden="1">{"fdsup://directions/FAT Viewer?action=UPDATE&amp;creator=factset&amp;DYN_ARGS=TRUE&amp;DOC_NAME=FAT:FQL_AUDITING_CLIENT_TEMPLATE.FAT&amp;display_string=Audit&amp;VAR:KEY=FITGLEZYZS&amp;VAR:QUERY=RkZfREVCVF9MVChRVFIsNDAwNTMsNDAwNTMp&amp;WINDOW=FIRST_POPUP&amp;HEIGHT=450&amp;WIDTH=450&amp;START_MA","XIMIZED=FALSE&amp;VAR:CALENDAR=FIVEDAY&amp;VAR:SYMBOL=455710&amp;VAR:INDEX=0"}</definedName>
    <definedName name="_61__FDSAUDITLINK__" hidden="1">{"fdsup://IBCentral/FAT Viewer?action=UPDATE&amp;creator=factset&amp;DOC_NAME=fat:reuters_annual_source_window.fat&amp;display_string=Audit&amp;DYN_ARGS=TRUE&amp;VAR:ID1=58155Q10&amp;VAR:RCODE=FCDP&amp;VAR:SDATE=20000399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610__FDSAUDITLINK__" hidden="1">{"fdsup://directions/FAT Viewer?action=UPDATE&amp;creator=factset&amp;DYN_ARGS=TRUE&amp;DOC_NAME=FAT:FQL_AUDITING_CLIENT_TEMPLATE.FAT&amp;display_string=Audit&amp;VAR:KEY=LQJOTYHIFM&amp;VAR:QUERY=RkZfREVCVF9MVChRVFIsNDAwNDYsNDAwNDYp&amp;WINDOW=FIRST_POPUP&amp;HEIGHT=450&amp;WIDTH=450&amp;START_MA","XIMIZED=FALSE&amp;VAR:CALENDAR=FIVEDAY&amp;VAR:SYMBOL=455710&amp;VAR:INDEX=0"}</definedName>
    <definedName name="_611__FDSAUDITLINK__" hidden="1">{"fdsup://directions/FAT Viewer?action=UPDATE&amp;creator=factset&amp;DYN_ARGS=TRUE&amp;DOC_NAME=FAT:FQL_AUDITING_CLIENT_TEMPLATE.FAT&amp;display_string=Audit&amp;VAR:KEY=RSNGDGZWRO&amp;VAR:QUERY=RkZfREVCVF9MVChRVFIsNDAwMzksNDAwMzkp&amp;WINDOW=FIRST_POPUP&amp;HEIGHT=450&amp;WIDTH=450&amp;START_MA","XIMIZED=FALSE&amp;VAR:CALENDAR=FIVEDAY&amp;VAR:SYMBOL=455710&amp;VAR:INDEX=0"}</definedName>
    <definedName name="_612__FDSAUDITLINK__" hidden="1">{"fdsup://directions/FAT Viewer?action=UPDATE&amp;creator=factset&amp;DYN_ARGS=TRUE&amp;DOC_NAME=FAT:FQL_AUDITING_CLIENT_TEMPLATE.FAT&amp;display_string=Audit&amp;VAR:KEY=FMRSBWPITO&amp;VAR:QUERY=RkZfREVCVF9MVChRVFIsMzg5ODksMzg5ODkp&amp;WINDOW=FIRST_POPUP&amp;HEIGHT=450&amp;WIDTH=450&amp;START_MA","XIMIZED=FALSE&amp;VAR:CALENDAR=FIVEDAY&amp;VAR:SYMBOL=455710&amp;VAR:INDEX=0"}</definedName>
    <definedName name="_613__FDSAUDITLINK__" hidden="1">{"fdsup://directions/FAT Viewer?action=UPDATE&amp;creator=factset&amp;DYN_ARGS=TRUE&amp;DOC_NAME=FAT:FQL_AUDITING_CLIENT_TEMPLATE.FAT&amp;display_string=Audit&amp;VAR:KEY=LSZIDEBQTQ&amp;VAR:QUERY=RkZfREVCVF9MVChRVFIsMzg5ODIsMzg5ODIp&amp;WINDOW=FIRST_POPUP&amp;HEIGHT=450&amp;WIDTH=450&amp;START_MA","XIMIZED=FALSE&amp;VAR:CALENDAR=FIVEDAY&amp;VAR:SYMBOL=455710&amp;VAR:INDEX=0"}</definedName>
    <definedName name="_614__FDSAUDITLINK__" hidden="1">{"fdsup://directions/FAT Viewer?action=UPDATE&amp;creator=factset&amp;DYN_ARGS=TRUE&amp;DOC_NAME=FAT:FQL_AUDITING_CLIENT_TEMPLATE.FAT&amp;display_string=Audit&amp;VAR:KEY=FGDCJUXIRW&amp;VAR:QUERY=RkZfREVCVF9MVChRVFIsMzg5NzUsMzg5NzUp&amp;WINDOW=FIRST_POPUP&amp;HEIGHT=450&amp;WIDTH=450&amp;START_MA","XIMIZED=FALSE&amp;VAR:CALENDAR=FIVEDAY&amp;VAR:SYMBOL=455710&amp;VAR:INDEX=0"}</definedName>
    <definedName name="_615__FDSAUDITLINK__" hidden="1">{"fdsup://directions/FAT Viewer?action=UPDATE&amp;creator=factset&amp;DYN_ARGS=TRUE&amp;DOC_NAME=FAT:FQL_AUDITING_CLIENT_TEMPLATE.FAT&amp;display_string=Audit&amp;VAR:KEY=JQNYDGHYJS&amp;VAR:QUERY=RkZfREVCVF9MVChRVFIsMzg5NjgsMzg5Njgp&amp;WINDOW=FIRST_POPUP&amp;HEIGHT=450&amp;WIDTH=450&amp;START_MA","XIMIZED=FALSE&amp;VAR:CALENDAR=FIVEDAY&amp;VAR:SYMBOL=455710&amp;VAR:INDEX=0"}</definedName>
    <definedName name="_616__FDSAUDITLINK__" hidden="1">{"fdsup://directions/FAT Viewer?action=UPDATE&amp;creator=factset&amp;DYN_ARGS=TRUE&amp;DOC_NAME=FAT:FQL_AUDITING_CLIENT_TEMPLATE.FAT&amp;display_string=Audit&amp;VAR:KEY=DWZWHCLIPK&amp;VAR:QUERY=RkZfREVCVF9MVChRVFIsMzg5NjEsMzg5NjEp&amp;WINDOW=FIRST_POPUP&amp;HEIGHT=450&amp;WIDTH=450&amp;START_MA","XIMIZED=FALSE&amp;VAR:CALENDAR=FIVEDAY&amp;VAR:SYMBOL=455710&amp;VAR:INDEX=0"}</definedName>
    <definedName name="_617__FDSAUDITLINK__" hidden="1">{"fdsup://directions/FAT Viewer?action=UPDATE&amp;creator=factset&amp;DYN_ARGS=TRUE&amp;DOC_NAME=FAT:FQL_AUDITING_CLIENT_TEMPLATE.FAT&amp;display_string=Audit&amp;VAR:KEY=FSFMRORYNE&amp;VAR:QUERY=RkZfREVCVF9MVChRVFIsMzg5NTQsMzg5NTQp&amp;WINDOW=FIRST_POPUP&amp;HEIGHT=450&amp;WIDTH=450&amp;START_MA","XIMIZED=FALSE&amp;VAR:CALENDAR=FIVEDAY&amp;VAR:SYMBOL=455710&amp;VAR:INDEX=0"}</definedName>
    <definedName name="_618__FDSAUDITLINK__" hidden="1">{"fdsup://directions/FAT Viewer?action=UPDATE&amp;creator=factset&amp;DYN_ARGS=TRUE&amp;DOC_NAME=FAT:FQL_AUDITING_CLIENT_TEMPLATE.FAT&amp;display_string=Audit&amp;VAR:KEY=PQTSTYXGHM&amp;VAR:QUERY=RkZfREVCVF9MVChRVFIsMzg5NDcsMzg5NDcp&amp;WINDOW=FIRST_POPUP&amp;HEIGHT=450&amp;WIDTH=450&amp;START_MA","XIMIZED=FALSE&amp;VAR:CALENDAR=FIVEDAY&amp;VAR:SYMBOL=455710&amp;VAR:INDEX=0"}</definedName>
    <definedName name="_619__FDSAUDITLINK__" hidden="1">{"fdsup://directions/FAT Viewer?action=UPDATE&amp;creator=factset&amp;DYN_ARGS=TRUE&amp;DOC_NAME=FAT:FQL_AUDITING_CLIENT_TEMPLATE.FAT&amp;display_string=Audit&amp;VAR:KEY=ZIJAZAJADO&amp;VAR:QUERY=RkZfREVCVF9MVChRVFIsMzg5NDAsMzg5NDAp&amp;WINDOW=FIRST_POPUP&amp;HEIGHT=450&amp;WIDTH=450&amp;START_MA","XIMIZED=FALSE&amp;VAR:CALENDAR=FIVEDAY&amp;VAR:SYMBOL=455710&amp;VAR:INDEX=0"}</definedName>
    <definedName name="_62__FDSAUDITLINK__" hidden="1">{"fdsup://IBCentral/FAT Viewer?action=UPDATE&amp;creator=factset&amp;DOC_NAME=fat:reuters_annual_source_window.fat&amp;display_string=Audit&amp;DYN_ARGS=TRUE&amp;VAR:ID1=58155Q10&amp;VAR:RCODE=FCDP&amp;VAR:SDATE=19990399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620__FDSAUDITLINK__" hidden="1">{"fdsup://directions/FAT Viewer?action=UPDATE&amp;creator=factset&amp;DYN_ARGS=TRUE&amp;DOC_NAME=FAT:FQL_AUDITING_CLIENT_TEMPLATE.FAT&amp;display_string=Audit&amp;VAR:KEY=PKJQTUPKFU&amp;VAR:QUERY=RkZfREVCVF9MVChRVFIsMzg5MzMsMzg5MzMp&amp;WINDOW=FIRST_POPUP&amp;HEIGHT=450&amp;WIDTH=450&amp;START_MA","XIMIZED=FALSE&amp;VAR:CALENDAR=FIVEDAY&amp;VAR:SYMBOL=455710&amp;VAR:INDEX=0"}</definedName>
    <definedName name="_621__FDSAUDITLINK__" hidden="1">{"fdsup://directions/FAT Viewer?action=UPDATE&amp;creator=factset&amp;DYN_ARGS=TRUE&amp;DOC_NAME=FAT:FQL_AUDITING_CLIENT_TEMPLATE.FAT&amp;display_string=Audit&amp;VAR:KEY=ZUDURKLYNY&amp;VAR:QUERY=RkZfREVCVF9MVChRVFIsMzg5MjYsMzg5MjYp&amp;WINDOW=FIRST_POPUP&amp;HEIGHT=450&amp;WIDTH=450&amp;START_MA","XIMIZED=FALSE&amp;VAR:CALENDAR=FIVEDAY&amp;VAR:SYMBOL=455710&amp;VAR:INDEX=0"}</definedName>
    <definedName name="_622__FDSAUDITLINK__" hidden="1">{"fdsup://directions/FAT Viewer?action=UPDATE&amp;creator=factset&amp;DYN_ARGS=TRUE&amp;DOC_NAME=FAT:FQL_AUDITING_CLIENT_TEMPLATE.FAT&amp;display_string=Audit&amp;VAR:KEY=NAPCJAJYNW&amp;VAR:QUERY=RkZfREVCVF9MVChRVFIsMzg5MTksMzg5MTkp&amp;WINDOW=FIRST_POPUP&amp;HEIGHT=450&amp;WIDTH=450&amp;START_MA","XIMIZED=FALSE&amp;VAR:CALENDAR=FIVEDAY&amp;VAR:SYMBOL=455710&amp;VAR:INDEX=0"}</definedName>
    <definedName name="_623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624__FDSAUDITLINK__" hidden="1">{"fdsup://directions/FAT Viewer?action=UPDATE&amp;creator=factset&amp;DYN_ARGS=TRUE&amp;DOC_NAME=FAT:FQL_AUDITING_CLIENT_TEMPLATE.FAT&amp;display_string=Audit&amp;VAR:KEY=ZOZMLARMLG&amp;VAR:QUERY=RkZfREVCVF9MVChRVFIsMzkwNzMsMzkwNzMp&amp;WINDOW=FIRST_POPUP&amp;HEIGHT=450&amp;WIDTH=450&amp;START_MA","XIMIZED=FALSE&amp;VAR:CALENDAR=FIVEDAY&amp;VAR:SYMBOL=455710&amp;VAR:INDEX=0"}</definedName>
    <definedName name="_625__FDSAUDITLINK__" hidden="1">{"fdsup://directions/FAT Viewer?action=UPDATE&amp;creator=factset&amp;DYN_ARGS=TRUE&amp;DOC_NAME=FAT:FQL_AUDITING_CLIENT_TEMPLATE.FAT&amp;display_string=Audit&amp;VAR:KEY=LMVSFMTKNA&amp;VAR:QUERY=RkZfREVCVF9MVChRVFIsMzkwNjYsMzkwNjYp&amp;WINDOW=FIRST_POPUP&amp;HEIGHT=450&amp;WIDTH=450&amp;START_MA","XIMIZED=FALSE&amp;VAR:CALENDAR=FIVEDAY&amp;VAR:SYMBOL=455710&amp;VAR:INDEX=0"}</definedName>
    <definedName name="_626__FDSAUDITLINK__" hidden="1">{"fdsup://directions/FAT Viewer?action=UPDATE&amp;creator=factset&amp;DYN_ARGS=TRUE&amp;DOC_NAME=FAT:FQL_AUDITING_CLIENT_TEMPLATE.FAT&amp;display_string=Audit&amp;VAR:KEY=RAPGLWXGZA&amp;VAR:QUERY=RkZfREVCVF9MVChRVFIsMzkwNTksMzkwNTkp&amp;WINDOW=FIRST_POPUP&amp;HEIGHT=450&amp;WIDTH=450&amp;START_MA","XIMIZED=FALSE&amp;VAR:CALENDAR=FIVEDAY&amp;VAR:SYMBOL=455710&amp;VAR:INDEX=0"}</definedName>
    <definedName name="_627__FDSAUDITLINK__" hidden="1">{"fdsup://directions/FAT Viewer?action=UPDATE&amp;creator=factset&amp;DYN_ARGS=TRUE&amp;DOC_NAME=FAT:FQL_AUDITING_CLIENT_TEMPLATE.FAT&amp;display_string=Audit&amp;VAR:KEY=NUDKVQVUBM&amp;VAR:QUERY=RkZfREVCVF9MVChRVFIsMzkwNTIsMzkwNTIp&amp;WINDOW=FIRST_POPUP&amp;HEIGHT=450&amp;WIDTH=450&amp;START_MA","XIMIZED=FALSE&amp;VAR:CALENDAR=FIVEDAY&amp;VAR:SYMBOL=455710&amp;VAR:INDEX=0"}</definedName>
    <definedName name="_628__FDSAUDITLINK__" hidden="1">{"fdsup://directions/FAT Viewer?action=UPDATE&amp;creator=factset&amp;DYN_ARGS=TRUE&amp;DOC_NAME=FAT:FQL_AUDITING_CLIENT_TEMPLATE.FAT&amp;display_string=Audit&amp;VAR:KEY=ZMVIHYXWXS&amp;VAR:QUERY=RkZfREVCVF9MVChRVFIsMzkwNDUsMzkwNDUp&amp;WINDOW=FIRST_POPUP&amp;HEIGHT=450&amp;WIDTH=450&amp;START_MA","XIMIZED=FALSE&amp;VAR:CALENDAR=FIVEDAY&amp;VAR:SYMBOL=455710&amp;VAR:INDEX=0"}</definedName>
    <definedName name="_629__FDSAUDITLINK__" hidden="1">{"fdsup://directions/FAT Viewer?action=UPDATE&amp;creator=factset&amp;DYN_ARGS=TRUE&amp;DOC_NAME=FAT:FQL_AUDITING_CLIENT_TEMPLATE.FAT&amp;display_string=Audit&amp;VAR:KEY=PARADSHUVI&amp;VAR:QUERY=RkZfREVCVF9MVChRVFIsMzkwMzgsMzkwMzgp&amp;WINDOW=FIRST_POPUP&amp;HEIGHT=450&amp;WIDTH=450&amp;START_MA","XIMIZED=FALSE&amp;VAR:CALENDAR=FIVEDAY&amp;VAR:SYMBOL=455710&amp;VAR:INDEX=0"}</definedName>
    <definedName name="_63__FDSAUDITLINK__" hidden="1">{"fdsup://IBCentral/FAT Viewer?action=UPDATE&amp;creator=factset&amp;DOC_NAME=fat:reuters_annual_shs_src_window.fat&amp;display_string=Audit&amp;DYN_ARGS=TRUE&amp;VAR:ID1=76775410&amp;VAR:RCODE=FDSSHSOUTDEPS&amp;VAR:SDATE=20090299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30__FDSAUDITLINK__" hidden="1">{"fdsup://directions/FAT Viewer?action=UPDATE&amp;creator=factset&amp;DYN_ARGS=TRUE&amp;DOC_NAME=FAT:FQL_AUDITING_CLIENT_TEMPLATE.FAT&amp;display_string=Audit&amp;VAR:KEY=PANWBGXOVS&amp;VAR:QUERY=RkZfREVCVF9MVChRVFIsMzkwMzEsMzkwMzEp&amp;WINDOW=FIRST_POPUP&amp;HEIGHT=450&amp;WIDTH=450&amp;START_MA","XIMIZED=FALSE&amp;VAR:CALENDAR=FIVEDAY&amp;VAR:SYMBOL=455710&amp;VAR:INDEX=0"}</definedName>
    <definedName name="_631__FDSAUDITLINK__" hidden="1">{"fdsup://directions/FAT Viewer?action=UPDATE&amp;creator=factset&amp;DYN_ARGS=TRUE&amp;DOC_NAME=FAT:FQL_AUDITING_CLIENT_TEMPLATE.FAT&amp;display_string=Audit&amp;VAR:KEY=LIPSHUBUBI&amp;VAR:QUERY=RkZfREVCVF9MVChRVFIsMzkwMjQsMzkwMjQp&amp;WINDOW=FIRST_POPUP&amp;HEIGHT=450&amp;WIDTH=450&amp;START_MA","XIMIZED=FALSE&amp;VAR:CALENDAR=FIVEDAY&amp;VAR:SYMBOL=455710&amp;VAR:INDEX=0"}</definedName>
    <definedName name="_632__FDSAUDITLINK__" hidden="1">{"fdsup://directions/FAT Viewer?action=UPDATE&amp;creator=factset&amp;DYN_ARGS=TRUE&amp;DOC_NAME=FAT:FQL_AUDITING_CLIENT_TEMPLATE.FAT&amp;display_string=Audit&amp;VAR:KEY=BOVGZYNING&amp;VAR:QUERY=RkZfREVCVF9MVChRVFIsMzkwMTcsMzkwMTcp&amp;WINDOW=FIRST_POPUP&amp;HEIGHT=450&amp;WIDTH=450&amp;START_MA","XIMIZED=FALSE&amp;VAR:CALENDAR=FIVEDAY&amp;VAR:SYMBOL=455710&amp;VAR:INDEX=0"}</definedName>
    <definedName name="_633__FDSAUDITLINK__" hidden="1">{"fdsup://directions/FAT Viewer?action=UPDATE&amp;creator=factset&amp;DYN_ARGS=TRUE&amp;DOC_NAME=FAT:FQL_AUDITING_CLIENT_TEMPLATE.FAT&amp;display_string=Audit&amp;VAR:KEY=RULQXIFMVU&amp;VAR:QUERY=RkZfREVCVF9MVChRVFIsMzkwMTAsMzkwMTAp&amp;WINDOW=FIRST_POPUP&amp;HEIGHT=450&amp;WIDTH=450&amp;START_MA","XIMIZED=FALSE&amp;VAR:CALENDAR=FIVEDAY&amp;VAR:SYMBOL=455710&amp;VAR:INDEX=0"}</definedName>
    <definedName name="_634__FDSAUDITLINK__" hidden="1">{"fdsup://directions/FAT Viewer?action=UPDATE&amp;creator=factset&amp;DYN_ARGS=TRUE&amp;DOC_NAME=FAT:FQL_AUDITING_CLIENT_TEMPLATE.FAT&amp;display_string=Audit&amp;VAR:KEY=FAJOBKFADS&amp;VAR:QUERY=RkZfREVCVF9MVChRVFIsMzkxNzEsMzkxNzEp&amp;WINDOW=FIRST_POPUP&amp;HEIGHT=450&amp;WIDTH=450&amp;START_MA","XIMIZED=FALSE&amp;VAR:CALENDAR=FIVEDAY&amp;VAR:SYMBOL=455710&amp;VAR:INDEX=0"}</definedName>
    <definedName name="_635__FDSAUDITLINK__" hidden="1">{"fdsup://directions/FAT Viewer?action=UPDATE&amp;creator=factset&amp;DYN_ARGS=TRUE&amp;DOC_NAME=FAT:FQL_AUDITING_CLIENT_TEMPLATE.FAT&amp;display_string=Audit&amp;VAR:KEY=FSNYLYZCFA&amp;VAR:QUERY=RkZfREVCVF9MVChRVFIsMzkxNjQsMzkxNjQp&amp;WINDOW=FIRST_POPUP&amp;HEIGHT=450&amp;WIDTH=450&amp;START_MA","XIMIZED=FALSE&amp;VAR:CALENDAR=FIVEDAY&amp;VAR:SYMBOL=455710&amp;VAR:INDEX=0"}</definedName>
    <definedName name="_636__FDSAUDITLINK__" hidden="1">{"fdsup://directions/FAT Viewer?action=UPDATE&amp;creator=factset&amp;DYN_ARGS=TRUE&amp;DOC_NAME=FAT:FQL_AUDITING_CLIENT_TEMPLATE.FAT&amp;display_string=Audit&amp;VAR:KEY=LARETCNMJM&amp;VAR:QUERY=RkZfREVCVF9MVChRVFIsMzkxNTcsMzkxNTcp&amp;WINDOW=FIRST_POPUP&amp;HEIGHT=450&amp;WIDTH=450&amp;START_MA","XIMIZED=FALSE&amp;VAR:CALENDAR=FIVEDAY&amp;VAR:SYMBOL=455710&amp;VAR:INDEX=0"}</definedName>
    <definedName name="_637__FDSAUDITLINK__" hidden="1">{"fdsup://directions/FAT Viewer?action=UPDATE&amp;creator=factset&amp;DYN_ARGS=TRUE&amp;DOC_NAME=FAT:FQL_AUDITING_CLIENT_TEMPLATE.FAT&amp;display_string=Audit&amp;VAR:KEY=RGPGZQDEJY&amp;VAR:QUERY=RkZfREVCVF9MVChRVFIsMzkxNTAsMzkxNTAp&amp;WINDOW=FIRST_POPUP&amp;HEIGHT=450&amp;WIDTH=450&amp;START_MA","XIMIZED=FALSE&amp;VAR:CALENDAR=FIVEDAY&amp;VAR:SYMBOL=455710&amp;VAR:INDEX=0"}</definedName>
    <definedName name="_638__FDSAUDITLINK__" hidden="1">{"fdsup://directions/FAT Viewer?action=UPDATE&amp;creator=factset&amp;DYN_ARGS=TRUE&amp;DOC_NAME=FAT:FQL_AUDITING_CLIENT_TEMPLATE.FAT&amp;display_string=Audit&amp;VAR:KEY=LYPWLMXUTE&amp;VAR:QUERY=RkZfREVCVF9MVChRVFIsMzkxNDMsMzkxNDMp&amp;WINDOW=FIRST_POPUP&amp;HEIGHT=450&amp;WIDTH=450&amp;START_MA","XIMIZED=FALSE&amp;VAR:CALENDAR=FIVEDAY&amp;VAR:SYMBOL=455710&amp;VAR:INDEX=0"}</definedName>
    <definedName name="_639__FDSAUDITLINK__" hidden="1">{"fdsup://directions/FAT Viewer?action=UPDATE&amp;creator=factset&amp;DYN_ARGS=TRUE&amp;DOC_NAME=FAT:FQL_AUDITING_CLIENT_TEMPLATE.FAT&amp;display_string=Audit&amp;VAR:KEY=HMXETORUXM&amp;VAR:QUERY=RkZfREVCVF9MVChRVFIsMzkxMzYsMzkxMzYp&amp;WINDOW=FIRST_POPUP&amp;HEIGHT=450&amp;WIDTH=450&amp;START_MA","XIMIZED=FALSE&amp;VAR:CALENDAR=FIVEDAY&amp;VAR:SYMBOL=455710&amp;VAR:INDEX=0"}</definedName>
    <definedName name="_64__FDSAUDITLINK__" hidden="1">{"fdsup://IBCentral/FAT Viewer?action=UPDATE&amp;creator=factset&amp;DOC_NAME=fat:reuters_annual_shs_src_window.fat&amp;display_string=Audit&amp;DYN_ARGS=TRUE&amp;VAR:ID1=76775410&amp;VAR:RCODE=FDSSHSOUTDEPS&amp;VAR:SDATE=20080299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40__FDSAUDITLINK__" hidden="1">{"fdsup://directions/FAT Viewer?action=UPDATE&amp;creator=factset&amp;DYN_ARGS=TRUE&amp;DOC_NAME=FAT:FQL_AUDITING_CLIENT_TEMPLATE.FAT&amp;display_string=Audit&amp;VAR:KEY=PYNOPOHONM&amp;VAR:QUERY=RkZfREVCVF9MVChRVFIsMzkxMjksMzkxMjkp&amp;WINDOW=FIRST_POPUP&amp;HEIGHT=450&amp;WIDTH=450&amp;START_MA","XIMIZED=FALSE&amp;VAR:CALENDAR=FIVEDAY&amp;VAR:SYMBOL=455710&amp;VAR:INDEX=0"}</definedName>
    <definedName name="_641__FDSAUDITLINK__" hidden="1">{"fdsup://directions/FAT Viewer?action=UPDATE&amp;creator=factset&amp;DYN_ARGS=TRUE&amp;DOC_NAME=FAT:FQL_AUDITING_CLIENT_TEMPLATE.FAT&amp;display_string=Audit&amp;VAR:KEY=JMXYPCHOXY&amp;VAR:QUERY=RkZfREVCVF9MVChRVFIsMzkxMjIsMzkxMjIp&amp;WINDOW=FIRST_POPUP&amp;HEIGHT=450&amp;WIDTH=450&amp;START_MA","XIMIZED=FALSE&amp;VAR:CALENDAR=FIVEDAY&amp;VAR:SYMBOL=455710&amp;VAR:INDEX=0"}</definedName>
    <definedName name="_642__FDSAUDITLINK__" hidden="1">{"fdsup://directions/FAT Viewer?action=UPDATE&amp;creator=factset&amp;DYN_ARGS=TRUE&amp;DOC_NAME=FAT:FQL_AUDITING_CLIENT_TEMPLATE.FAT&amp;display_string=Audit&amp;VAR:KEY=FIZUROVAPK&amp;VAR:QUERY=RkZfREVCVF9MVChRVFIsMzkxMTUsMzkxMTUp&amp;WINDOW=FIRST_POPUP&amp;HEIGHT=450&amp;WIDTH=450&amp;START_MA","XIMIZED=FALSE&amp;VAR:CALENDAR=FIVEDAY&amp;VAR:SYMBOL=455710&amp;VAR:INDEX=0"}</definedName>
    <definedName name="_643__FDSAUDITLINK__" hidden="1">{"fdsup://directions/FAT Viewer?action=UPDATE&amp;creator=factset&amp;DYN_ARGS=TRUE&amp;DOC_NAME=FAT:FQL_AUDITING_CLIENT_TEMPLATE.FAT&amp;display_string=Audit&amp;VAR:KEY=HCJGPGNCVC&amp;VAR:QUERY=RkZfREVCVF9MVChRVFIsMzkxMDgsMzkxMDgp&amp;WINDOW=FIRST_POPUP&amp;HEIGHT=450&amp;WIDTH=450&amp;START_MA","XIMIZED=FALSE&amp;VAR:CALENDAR=FIVEDAY&amp;VAR:SYMBOL=455710&amp;VAR:INDEX=0"}</definedName>
    <definedName name="_644__FDSAUDITLINK__" hidden="1">{"fdsup://directions/FAT Viewer?action=UPDATE&amp;creator=factset&amp;DYN_ARGS=TRUE&amp;DOC_NAME=FAT:FQL_AUDITING_CLIENT_TEMPLATE.FAT&amp;display_string=Audit&amp;VAR:KEY=RGNEVONKDS&amp;VAR:QUERY=RkZfREVCVF9MVChRVFIsMzkxMDEsMzkxMDEp&amp;WINDOW=FIRST_POPUP&amp;HEIGHT=450&amp;WIDTH=450&amp;START_MA","XIMIZED=FALSE&amp;VAR:CALENDAR=FIVEDAY&amp;VAR:SYMBOL=455710&amp;VAR:INDEX=0"}</definedName>
    <definedName name="_645__FDSAUDITLINK__" hidden="1">{"fdsup://directions/FAT Viewer?action=UPDATE&amp;creator=factset&amp;DYN_ARGS=TRUE&amp;DOC_NAME=FAT:FQL_AUDITING_CLIENT_TEMPLATE.FAT&amp;display_string=Audit&amp;VAR:KEY=PCZEFSDERO&amp;VAR:QUERY=RkZfREVCVF9MVChRVFIsMzkyNjIsMzkyNjIp&amp;WINDOW=FIRST_POPUP&amp;HEIGHT=450&amp;WIDTH=450&amp;START_MA","XIMIZED=FALSE&amp;VAR:CALENDAR=FIVEDAY&amp;VAR:SYMBOL=455710&amp;VAR:INDEX=0"}</definedName>
    <definedName name="_646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647__FDSAUDITLINK__" hidden="1">{"fdsup://directions/FAT Viewer?action=UPDATE&amp;creator=factset&amp;DYN_ARGS=TRUE&amp;DOC_NAME=FAT:FQL_AUDITING_CLIENT_TEMPLATE.FAT&amp;display_string=Audit&amp;VAR:KEY=ZKJYVYPEDI&amp;VAR:QUERY=RkZfREVCVF9MVChRVFIsMzkyNTUsMzkyNTUp&amp;WINDOW=FIRST_POPUP&amp;HEIGHT=450&amp;WIDTH=450&amp;START_MA","XIMIZED=FALSE&amp;VAR:CALENDAR=FIVEDAY&amp;VAR:SYMBOL=455710&amp;VAR:INDEX=0"}</definedName>
    <definedName name="_648__FDSAUDITLINK__" hidden="1">{"fdsup://directions/FAT Viewer?action=UPDATE&amp;creator=factset&amp;DYN_ARGS=TRUE&amp;DOC_NAME=FAT:FQL_AUDITING_CLIENT_TEMPLATE.FAT&amp;display_string=Audit&amp;VAR:KEY=TSPIHGTINE&amp;VAR:QUERY=RkZfREVCVF9MVChRVFIsMzkyNDgsMzkyNDgp&amp;WINDOW=FIRST_POPUP&amp;HEIGHT=450&amp;WIDTH=450&amp;START_MA","XIMIZED=FALSE&amp;VAR:CALENDAR=FIVEDAY&amp;VAR:SYMBOL=455710&amp;VAR:INDEX=0"}</definedName>
    <definedName name="_649__FDSAUDITLINK__" hidden="1">{"fdsup://directions/FAT Viewer?action=UPDATE&amp;creator=factset&amp;DYN_ARGS=TRUE&amp;DOC_NAME=FAT:FQL_AUDITING_CLIENT_TEMPLATE.FAT&amp;display_string=Audit&amp;VAR:KEY=NABYTWDMBG&amp;VAR:QUERY=RkZfREVCVF9MVChRVFIsMzkyNDEsMzkyNDEp&amp;WINDOW=FIRST_POPUP&amp;HEIGHT=450&amp;WIDTH=450&amp;START_MA","XIMIZED=FALSE&amp;VAR:CALENDAR=FIVEDAY&amp;VAR:SYMBOL=455710&amp;VAR:INDEX=0"}</definedName>
    <definedName name="_65__FDSAUDITLINK__" hidden="1">{"fdsup://IBCentral/FAT Viewer?action=UPDATE&amp;creator=factset&amp;DOC_NAME=fat:reuters_annual_shs_src_window.fat&amp;display_string=Audit&amp;DYN_ARGS=TRUE&amp;VAR:ID1=76775410&amp;VAR:RCODE=FDSSHSOUTDEPS&amp;VAR:SDATE=20070299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50__FDSAUDITLINK__" hidden="1">{"fdsup://directions/FAT Viewer?action=UPDATE&amp;creator=factset&amp;DYN_ARGS=TRUE&amp;DOC_NAME=FAT:FQL_AUDITING_CLIENT_TEMPLATE.FAT&amp;display_string=Audit&amp;VAR:KEY=ZAFAPOXATI&amp;VAR:QUERY=RkZfREVCVF9MVChRVFIsMzkyMzQsMzkyMzQp&amp;WINDOW=FIRST_POPUP&amp;HEIGHT=450&amp;WIDTH=450&amp;START_MA","XIMIZED=FALSE&amp;VAR:CALENDAR=FIVEDAY&amp;VAR:SYMBOL=455710&amp;VAR:INDEX=0"}</definedName>
    <definedName name="_651__FDSAUDITLINK__" hidden="1">{"fdsup://directions/FAT Viewer?action=UPDATE&amp;creator=factset&amp;DYN_ARGS=TRUE&amp;DOC_NAME=FAT:FQL_AUDITING_CLIENT_TEMPLATE.FAT&amp;display_string=Audit&amp;VAR:KEY=DALMPOJYJG&amp;VAR:QUERY=RkZfREVCVF9MVChRVFIsMzkyMjcsMzkyMjcp&amp;WINDOW=FIRST_POPUP&amp;HEIGHT=450&amp;WIDTH=450&amp;START_MA","XIMIZED=FALSE&amp;VAR:CALENDAR=FIVEDAY&amp;VAR:SYMBOL=455710&amp;VAR:INDEX=0"}</definedName>
    <definedName name="_652__FDSAUDITLINK__" hidden="1">{"fdsup://directions/FAT Viewer?action=UPDATE&amp;creator=factset&amp;DYN_ARGS=TRUE&amp;DOC_NAME=FAT:FQL_AUDITING_CLIENT_TEMPLATE.FAT&amp;display_string=Audit&amp;VAR:KEY=XKBWFMLWLQ&amp;VAR:QUERY=RkZfREVCVF9MVChRVFIsMzkyMjAsMzkyMjAp&amp;WINDOW=FIRST_POPUP&amp;HEIGHT=450&amp;WIDTH=450&amp;START_MA","XIMIZED=FALSE&amp;VAR:CALENDAR=FIVEDAY&amp;VAR:SYMBOL=455710&amp;VAR:INDEX=0"}</definedName>
    <definedName name="_653__FDSAUDITLINK__" hidden="1">{"fdsup://directions/FAT Viewer?action=UPDATE&amp;creator=factset&amp;DYN_ARGS=TRUE&amp;DOC_NAME=FAT:FQL_AUDITING_CLIENT_TEMPLATE.FAT&amp;display_string=Audit&amp;VAR:KEY=PWLMJSZAFM&amp;VAR:QUERY=RkZfREVCVF9MVChRVFIsMzkyMTMsMzkyMTMp&amp;WINDOW=FIRST_POPUP&amp;HEIGHT=450&amp;WIDTH=450&amp;START_MA","XIMIZED=FALSE&amp;VAR:CALENDAR=FIVEDAY&amp;VAR:SYMBOL=455710&amp;VAR:INDEX=0"}</definedName>
    <definedName name="_654__FDSAUDITLINK__" hidden="1">{"fdsup://directions/FAT Viewer?action=UPDATE&amp;creator=factset&amp;DYN_ARGS=TRUE&amp;DOC_NAME=FAT:FQL_AUDITING_CLIENT_TEMPLATE.FAT&amp;display_string=Audit&amp;VAR:KEY=PYZCHENOFO&amp;VAR:QUERY=RkZfREVCVF9MVChRVFIsMzkyMDYsMzkyMDYp&amp;WINDOW=FIRST_POPUP&amp;HEIGHT=450&amp;WIDTH=450&amp;START_MA","XIMIZED=FALSE&amp;VAR:CALENDAR=FIVEDAY&amp;VAR:SYMBOL=455710&amp;VAR:INDEX=0"}</definedName>
    <definedName name="_655__FDSAUDITLINK__" hidden="1">{"fdsup://directions/FAT Viewer?action=UPDATE&amp;creator=factset&amp;DYN_ARGS=TRUE&amp;DOC_NAME=FAT:FQL_AUDITING_CLIENT_TEMPLATE.FAT&amp;display_string=Audit&amp;VAR:KEY=DMDSFEVUVM&amp;VAR:QUERY=RkZfREVCVF9MVChRVFIsMzkxOTksMzkxOTkp&amp;WINDOW=FIRST_POPUP&amp;HEIGHT=450&amp;WIDTH=450&amp;START_MA","XIMIZED=FALSE&amp;VAR:CALENDAR=FIVEDAY&amp;VAR:SYMBOL=455710&amp;VAR:INDEX=0"}</definedName>
    <definedName name="_656__FDSAUDITLINK__" hidden="1">{"fdsup://directions/FAT Viewer?action=UPDATE&amp;creator=factset&amp;DYN_ARGS=TRUE&amp;DOC_NAME=FAT:FQL_AUDITING_CLIENT_TEMPLATE.FAT&amp;display_string=Audit&amp;VAR:KEY=ZEJSRIPIDO&amp;VAR:QUERY=RkZfREVCVF9MVChRVFIsMzkxOTIsMzkxOTIp&amp;WINDOW=FIRST_POPUP&amp;HEIGHT=450&amp;WIDTH=450&amp;START_MA","XIMIZED=FALSE&amp;VAR:CALENDAR=FIVEDAY&amp;VAR:SYMBOL=455710&amp;VAR:INDEX=0"}</definedName>
    <definedName name="_657__FDSAUDITLINK__" hidden="1">{"fdsup://directions/FAT Viewer?action=UPDATE&amp;creator=factset&amp;DYN_ARGS=TRUE&amp;DOC_NAME=FAT:FQL_AUDITING_CLIENT_TEMPLATE.FAT&amp;display_string=Audit&amp;VAR:KEY=XIXOXOTUVY&amp;VAR:QUERY=RkZfREVCVF9MVChRVFIsMzkzNTMsMzkzNTMp&amp;WINDOW=FIRST_POPUP&amp;HEIGHT=450&amp;WIDTH=450&amp;START_MA","XIMIZED=FALSE&amp;VAR:CALENDAR=FIVEDAY&amp;VAR:SYMBOL=455710&amp;VAR:INDEX=0"}</definedName>
    <definedName name="_658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659__FDSAUDITLINK__" hidden="1">{"fdsup://directions/FAT Viewer?action=UPDATE&amp;creator=factset&amp;DYN_ARGS=TRUE&amp;DOC_NAME=FAT:FQL_AUDITING_CLIENT_TEMPLATE.FAT&amp;display_string=Audit&amp;VAR:KEY=RKDMXWXIXY&amp;VAR:QUERY=RkZfREVCVF9MVChRVFIsMzkzNDYsMzkzNDYp&amp;WINDOW=FIRST_POPUP&amp;HEIGHT=450&amp;WIDTH=450&amp;START_MA","XIMIZED=FALSE&amp;VAR:CALENDAR=FIVEDAY&amp;VAR:SYMBOL=455710&amp;VAR:INDEX=0"}</definedName>
    <definedName name="_66__FDSAUDITLINK__" hidden="1">{"fdsup://IBCentral/FAT Viewer?action=UPDATE&amp;creator=factset&amp;DOC_NAME=fat:reuters_annual_shs_src_window.fat&amp;display_string=Audit&amp;DYN_ARGS=TRUE&amp;VAR:ID1=76775410&amp;VAR:RCODE=FDSSHSOUTDEPS&amp;VAR:SDATE=20060299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60__FDSAUDITLINK__" hidden="1">{"fdsup://directions/FAT Viewer?action=UPDATE&amp;creator=factset&amp;DYN_ARGS=TRUE&amp;DOC_NAME=FAT:FQL_AUDITING_CLIENT_TEMPLATE.FAT&amp;display_string=Audit&amp;VAR:KEY=PGPOVAPQTC&amp;VAR:QUERY=RkZfREVCVF9MVChRVFIsMzkzMzksMzkzMzkp&amp;WINDOW=FIRST_POPUP&amp;HEIGHT=450&amp;WIDTH=450&amp;START_MA","XIMIZED=FALSE&amp;VAR:CALENDAR=FIVEDAY&amp;VAR:SYMBOL=455710&amp;VAR:INDEX=0"}</definedName>
    <definedName name="_661__FDSAUDITLINK__" hidden="1">{"fdsup://directions/FAT Viewer?action=UPDATE&amp;creator=factset&amp;DYN_ARGS=TRUE&amp;DOC_NAME=FAT:FQL_AUDITING_CLIENT_TEMPLATE.FAT&amp;display_string=Audit&amp;VAR:KEY=JMJKDGBAVS&amp;VAR:QUERY=RkZfREVCVF9MVChRVFIsMzkzMzIsMzkzMzIp&amp;WINDOW=FIRST_POPUP&amp;HEIGHT=450&amp;WIDTH=450&amp;START_MA","XIMIZED=FALSE&amp;VAR:CALENDAR=FIVEDAY&amp;VAR:SYMBOL=455710&amp;VAR:INDEX=0"}</definedName>
    <definedName name="_662__FDSAUDITLINK__" hidden="1">{"fdsup://directions/FAT Viewer?action=UPDATE&amp;creator=factset&amp;DYN_ARGS=TRUE&amp;DOC_NAME=FAT:FQL_AUDITING_CLIENT_TEMPLATE.FAT&amp;display_string=Audit&amp;VAR:KEY=BKTOTYXAHA&amp;VAR:QUERY=RkZfREVCVF9MVChRVFIsMzkzMjUsMzkzMjUp&amp;WINDOW=FIRST_POPUP&amp;HEIGHT=450&amp;WIDTH=450&amp;START_MA","XIMIZED=FALSE&amp;VAR:CALENDAR=FIVEDAY&amp;VAR:SYMBOL=455710&amp;VAR:INDEX=0"}</definedName>
    <definedName name="_663__FDSAUDITLINK__" hidden="1">{"fdsup://directions/FAT Viewer?action=UPDATE&amp;creator=factset&amp;DYN_ARGS=TRUE&amp;DOC_NAME=FAT:FQL_AUDITING_CLIENT_TEMPLATE.FAT&amp;display_string=Audit&amp;VAR:KEY=POJUHSLOXS&amp;VAR:QUERY=RkZfREVCVF9MVChRVFIsMzkzMTgsMzkzMTgp&amp;WINDOW=FIRST_POPUP&amp;HEIGHT=450&amp;WIDTH=450&amp;START_MA","XIMIZED=FALSE&amp;VAR:CALENDAR=FIVEDAY&amp;VAR:SYMBOL=455710&amp;VAR:INDEX=0"}</definedName>
    <definedName name="_664__FDSAUDITLINK__" hidden="1">{"fdsup://directions/FAT Viewer?action=UPDATE&amp;creator=factset&amp;DYN_ARGS=TRUE&amp;DOC_NAME=FAT:FQL_AUDITING_CLIENT_TEMPLATE.FAT&amp;display_string=Audit&amp;VAR:KEY=FSZWPKJKRK&amp;VAR:QUERY=RkZfREVCVF9MVChRVFIsMzkzMTEsMzkzMTEp&amp;WINDOW=FIRST_POPUP&amp;HEIGHT=450&amp;WIDTH=450&amp;START_MA","XIMIZED=FALSE&amp;VAR:CALENDAR=FIVEDAY&amp;VAR:SYMBOL=455710&amp;VAR:INDEX=0"}</definedName>
    <definedName name="_665__FDSAUDITLINK__" hidden="1">{"fdsup://directions/FAT Viewer?action=UPDATE&amp;creator=factset&amp;DYN_ARGS=TRUE&amp;DOC_NAME=FAT:FQL_AUDITING_CLIENT_TEMPLATE.FAT&amp;display_string=Audit&amp;VAR:KEY=XQZEBCXGDU&amp;VAR:QUERY=RkZfREVCVF9MVChRVFIsMzkzMDQsMzkzMDQp&amp;WINDOW=FIRST_POPUP&amp;HEIGHT=450&amp;WIDTH=450&amp;START_MA","XIMIZED=FALSE&amp;VAR:CALENDAR=FIVEDAY&amp;VAR:SYMBOL=455710&amp;VAR:INDEX=0"}</definedName>
    <definedName name="_666__FDSAUDITLINK__" hidden="1">{"fdsup://directions/FAT Viewer?action=UPDATE&amp;creator=factset&amp;DYN_ARGS=TRUE&amp;DOC_NAME=FAT:FQL_AUDITING_CLIENT_TEMPLATE.FAT&amp;display_string=Audit&amp;VAR:KEY=HIVAVKFSVI&amp;VAR:QUERY=RkZfREVCVF9MVChRVFIsMzkyOTcsMzkyOTcp&amp;WINDOW=FIRST_POPUP&amp;HEIGHT=450&amp;WIDTH=450&amp;START_MA","XIMIZED=FALSE&amp;VAR:CALENDAR=FIVEDAY&amp;VAR:SYMBOL=455710&amp;VAR:INDEX=0"}</definedName>
    <definedName name="_667__FDSAUDITLINK__" hidden="1">{"fdsup://directions/FAT Viewer?action=UPDATE&amp;creator=factset&amp;DYN_ARGS=TRUE&amp;DOC_NAME=FAT:FQL_AUDITING_CLIENT_TEMPLATE.FAT&amp;display_string=Audit&amp;VAR:KEY=DSBKDCJINY&amp;VAR:QUERY=RkZfREVCVF9MVChRVFIsMzkyOTAsMzkyOTAp&amp;WINDOW=FIRST_POPUP&amp;HEIGHT=450&amp;WIDTH=450&amp;START_MA","XIMIZED=FALSE&amp;VAR:CALENDAR=FIVEDAY&amp;VAR:SYMBOL=455710&amp;VAR:INDEX=0"}</definedName>
    <definedName name="_668__FDSAUDITLINK__" hidden="1">{"fdsup://directions/FAT Viewer?action=UPDATE&amp;creator=factset&amp;DYN_ARGS=TRUE&amp;DOC_NAME=FAT:FQL_AUDITING_CLIENT_TEMPLATE.FAT&amp;display_string=Audit&amp;VAR:KEY=VSNWVMTOFE&amp;VAR:QUERY=RkZfREVCVF9MVChRVFIsMzkyODMsMzkyODMp&amp;WINDOW=FIRST_POPUP&amp;HEIGHT=450&amp;WIDTH=450&amp;START_MA","XIMIZED=FALSE&amp;VAR:CALENDAR=FIVEDAY&amp;VAR:SYMBOL=455710&amp;VAR:INDEX=0"}</definedName>
    <definedName name="_669__FDSAUDITLINK__" hidden="1">{"fdsup://directions/FAT Viewer?action=UPDATE&amp;creator=factset&amp;DYN_ARGS=TRUE&amp;DOC_NAME=FAT:FQL_AUDITING_CLIENT_TEMPLATE.FAT&amp;display_string=Audit&amp;VAR:KEY=JOBOBEZWPW&amp;VAR:QUERY=RkZfREVCVF9MVChRVFIsMzk0NDQsMzk0NDQp&amp;WINDOW=FIRST_POPUP&amp;HEIGHT=450&amp;WIDTH=450&amp;START_MA","XIMIZED=FALSE&amp;VAR:CALENDAR=FIVEDAY&amp;VAR:SYMBOL=455710&amp;VAR:INDEX=0"}</definedName>
    <definedName name="_67__FDSAUDITLINK__" hidden="1">{"fdsup://IBCentral/FAT Viewer?action=UPDATE&amp;creator=factset&amp;DOC_NAME=fat:reuters_annual_shs_src_window.fat&amp;display_string=Audit&amp;DYN_ARGS=TRUE&amp;VAR:ID1=76775410&amp;VAR:RCODE=FDSSHSOUTDEPS&amp;VAR:SDATE=20050299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70__FDSAUDITLINK__" hidden="1">{"fdsup://directions/FAT Viewer?action=UPDATE&amp;creator=factset&amp;DYN_ARGS=TRUE&amp;DOC_NAME=FAT:FQL_AUDITING_CLIENT_TEMPLATE.FAT&amp;display_string=Audit&amp;VAR:KEY=XATCFEJIDM&amp;VAR:QUERY=RkZfREVCVF9MVChRVFIsMzk0MzcsMzk0Mzcp&amp;WINDOW=FIRST_POPUP&amp;HEIGHT=450&amp;WIDTH=450&amp;START_MA","XIMIZED=FALSE&amp;VAR:CALENDAR=FIVEDAY&amp;VAR:SYMBOL=455710&amp;VAR:INDEX=0"}</definedName>
    <definedName name="_671__FDSAUDITLINK__" hidden="1">{"fdsup://directions/FAT Viewer?action=UPDATE&amp;creator=factset&amp;DYN_ARGS=TRUE&amp;DOC_NAME=FAT:FQL_AUDITING_CLIENT_TEMPLATE.FAT&amp;display_string=Audit&amp;VAR:KEY=PGRAPUPSZQ&amp;VAR:QUERY=RkZfREVCVF9MVChRVFIsMzk0MzAsMzk0MzAp&amp;WINDOW=FIRST_POPUP&amp;HEIGHT=450&amp;WIDTH=450&amp;START_MA","XIMIZED=FALSE&amp;VAR:CALENDAR=FIVEDAY&amp;VAR:SYMBOL=455710&amp;VAR:INDEX=0"}</definedName>
    <definedName name="_672__FDSAUDITLINK__" hidden="1">{"fdsup://directions/FAT Viewer?action=UPDATE&amp;creator=factset&amp;DYN_ARGS=TRUE&amp;DOC_NAME=FAT:FQL_AUDITING_CLIENT_TEMPLATE.FAT&amp;display_string=Audit&amp;VAR:KEY=FIXWHSXOTS&amp;VAR:QUERY=RkZfREVCVF9MVChRVFIsMzk0MjMsMzk0MjMp&amp;WINDOW=FIRST_POPUP&amp;HEIGHT=450&amp;WIDTH=450&amp;START_MA","XIMIZED=FALSE&amp;VAR:CALENDAR=FIVEDAY&amp;VAR:SYMBOL=455710&amp;VAR:INDEX=0"}</definedName>
    <definedName name="_673__FDSAUDITLINK__" hidden="1">{"fdsup://directions/FAT Viewer?action=UPDATE&amp;creator=factset&amp;DYN_ARGS=TRUE&amp;DOC_NAME=FAT:FQL_AUDITING_CLIENT_TEMPLATE.FAT&amp;display_string=Audit&amp;VAR:KEY=NCHMNOVYFE&amp;VAR:QUERY=RkZfREVCVF9MVChRVFIsMzk0MTYsMzk0MTYp&amp;WINDOW=FIRST_POPUP&amp;HEIGHT=450&amp;WIDTH=450&amp;START_MA","XIMIZED=FALSE&amp;VAR:CALENDAR=FIVEDAY&amp;VAR:SYMBOL=455710&amp;VAR:INDEX=0"}</definedName>
    <definedName name="_674__FDSAUDITLINK__" hidden="1">{"fdsup://directions/FAT Viewer?action=UPDATE&amp;creator=factset&amp;DYN_ARGS=TRUE&amp;DOC_NAME=FAT:FQL_AUDITING_CLIENT_TEMPLATE.FAT&amp;display_string=Audit&amp;VAR:KEY=TKNYRSXIBI&amp;VAR:QUERY=RkZfREVCVF9MVChRVFIsMzk0MDksMzk0MDkp&amp;WINDOW=FIRST_POPUP&amp;HEIGHT=450&amp;WIDTH=450&amp;START_MA","XIMIZED=FALSE&amp;VAR:CALENDAR=FIVEDAY&amp;VAR:SYMBOL=455710&amp;VAR:INDEX=0"}</definedName>
    <definedName name="_675__FDSAUDITLINK__" hidden="1">{"fdsup://directions/FAT Viewer?action=UPDATE&amp;creator=factset&amp;DYN_ARGS=TRUE&amp;DOC_NAME=FAT:FQL_AUDITING_CLIENT_TEMPLATE.FAT&amp;display_string=Audit&amp;VAR:KEY=BGHERGTATG&amp;VAR:QUERY=RkZfREVCVF9MVChRVFIsMzk0MDIsMzk0MDIp&amp;WINDOW=FIRST_POPUP&amp;HEIGHT=450&amp;WIDTH=450&amp;START_MA","XIMIZED=FALSE&amp;VAR:CALENDAR=FIVEDAY&amp;VAR:SYMBOL=455710&amp;VAR:INDEX=0"}</definedName>
    <definedName name="_676__FDSAUDITLINK__" hidden="1">{"fdsup://directions/FAT Viewer?action=UPDATE&amp;creator=factset&amp;DYN_ARGS=TRUE&amp;DOC_NAME=FAT:FQL_AUDITING_CLIENT_TEMPLATE.FAT&amp;display_string=Audit&amp;VAR:KEY=TQLINSNCRK&amp;VAR:QUERY=RkZfREVCVF9MVChRVFIsMzkzOTUsMzkzOTUp&amp;WINDOW=FIRST_POPUP&amp;HEIGHT=450&amp;WIDTH=450&amp;START_MA","XIMIZED=FALSE&amp;VAR:CALENDAR=FIVEDAY&amp;VAR:SYMBOL=455710&amp;VAR:INDEX=0"}</definedName>
    <definedName name="_677__FDSAUDITLINK__" hidden="1">{"fdsup://directions/FAT Viewer?action=UPDATE&amp;creator=factset&amp;DYN_ARGS=TRUE&amp;DOC_NAME=FAT:FQL_AUDITING_CLIENT_TEMPLATE.FAT&amp;display_string=Audit&amp;VAR:KEY=BWHWRQHYDO&amp;VAR:QUERY=RkZfREVCVF9MVChRVFIsMzkzODgsMzkzODgp&amp;WINDOW=FIRST_POPUP&amp;HEIGHT=450&amp;WIDTH=450&amp;START_MA","XIMIZED=FALSE&amp;VAR:CALENDAR=FIVEDAY&amp;VAR:SYMBOL=455710&amp;VAR:INDEX=0"}</definedName>
    <definedName name="_678__FDSAUDITLINK__" hidden="1">{"fdsup://directions/FAT Viewer?action=UPDATE&amp;creator=factset&amp;DYN_ARGS=TRUE&amp;DOC_NAME=FAT:FQL_AUDITING_CLIENT_TEMPLATE.FAT&amp;display_string=Audit&amp;VAR:KEY=NQBSBMJYPU&amp;VAR:QUERY=RkZfREVCVF9MVChRVFIsMzkzODEsMzkzODEp&amp;WINDOW=FIRST_POPUP&amp;HEIGHT=450&amp;WIDTH=450&amp;START_MA","XIMIZED=FALSE&amp;VAR:CALENDAR=FIVEDAY&amp;VAR:SYMBOL=455710&amp;VAR:INDEX=0"}</definedName>
    <definedName name="_679__FDSAUDITLINK__" hidden="1">{"fdsup://directions/FAT Viewer?action=UPDATE&amp;creator=factset&amp;DYN_ARGS=TRUE&amp;DOC_NAME=FAT:FQL_AUDITING_CLIENT_TEMPLATE.FAT&amp;display_string=Audit&amp;VAR:KEY=ZYFWTGXSNE&amp;VAR:QUERY=RkZfREVCVF9MVChRVFIsMzkzNzQsMzkzNzQp&amp;WINDOW=FIRST_POPUP&amp;HEIGHT=450&amp;WIDTH=450&amp;START_MA","XIMIZED=FALSE&amp;VAR:CALENDAR=FIVEDAY&amp;VAR:SYMBOL=455710&amp;VAR:INDEX=0"}</definedName>
    <definedName name="_68__FDSAUDITLINK__" hidden="1">{"fdsup://IBCentral/FAT Viewer?action=UPDATE&amp;creator=factset&amp;DOC_NAME=fat:reuters_annual_shs_src_window.fat&amp;display_string=Audit&amp;DYN_ARGS=TRUE&amp;VAR:ID1=76775410&amp;VAR:RCODE=FDSSHSOUTDEPS&amp;VAR:SDATE=20040299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80__FDSAUDITLINK__" hidden="1">{"fdsup://directions/FAT Viewer?action=UPDATE&amp;creator=factset&amp;DYN_ARGS=TRUE&amp;DOC_NAME=FAT:FQL_AUDITING_CLIENT_TEMPLATE.FAT&amp;display_string=Audit&amp;VAR:KEY=RADIRCHKBQ&amp;VAR:QUERY=RkZfREVCVF9MVChRVFIsMzk2MjYsMzk2MjYp&amp;WINDOW=FIRST_POPUP&amp;HEIGHT=450&amp;WIDTH=450&amp;START_MA","XIMIZED=FALSE&amp;VAR:CALENDAR=FIVEDAY&amp;VAR:SYMBOL=455710&amp;VAR:INDEX=0"}</definedName>
    <definedName name="_681__FDSAUDITLINK__" hidden="1">{"fdsup://directions/FAT Viewer?action=UPDATE&amp;creator=factset&amp;DYN_ARGS=TRUE&amp;DOC_NAME=FAT:FQL_AUDITING_CLIENT_TEMPLATE.FAT&amp;display_string=Audit&amp;VAR:KEY=JARUDALAVQ&amp;VAR:QUERY=RkZfREVCVF9MVChRVFIsMzk2MTksMzk2MTkp&amp;WINDOW=FIRST_POPUP&amp;HEIGHT=450&amp;WIDTH=450&amp;START_MA","XIMIZED=FALSE&amp;VAR:CALENDAR=FIVEDAY&amp;VAR:SYMBOL=455710&amp;VAR:INDEX=0"}</definedName>
    <definedName name="_682__FDSAUDITLINK__" hidden="1">{"fdsup://directions/FAT Viewer?action=UPDATE&amp;creator=factset&amp;DYN_ARGS=TRUE&amp;DOC_NAME=FAT:FQL_AUDITING_CLIENT_TEMPLATE.FAT&amp;display_string=Audit&amp;VAR:KEY=XEDQBGFMLQ&amp;VAR:QUERY=RkZfREVCVF9MVChRVFIsMzk2MTIsMzk2MTIp&amp;WINDOW=FIRST_POPUP&amp;HEIGHT=450&amp;WIDTH=450&amp;START_MA","XIMIZED=FALSE&amp;VAR:CALENDAR=FIVEDAY&amp;VAR:SYMBOL=455710&amp;VAR:INDEX=0"}</definedName>
    <definedName name="_683__FDSAUDITLINK__" hidden="1">{"fdsup://directions/FAT Viewer?action=UPDATE&amp;creator=factset&amp;DYN_ARGS=TRUE&amp;DOC_NAME=FAT:FQL_AUDITING_CLIENT_TEMPLATE.FAT&amp;display_string=Audit&amp;VAR:KEY=FULIFMPWDA&amp;VAR:QUERY=RkZfREVCVF9MVChRVFIsMzk2MDUsMzk2MDUp&amp;WINDOW=FIRST_POPUP&amp;HEIGHT=450&amp;WIDTH=450&amp;START_MA","XIMIZED=FALSE&amp;VAR:CALENDAR=FIVEDAY&amp;VAR:SYMBOL=455710&amp;VAR:INDEX=0"}</definedName>
    <definedName name="_684__FDSAUDITLINK__" hidden="1">{"fdsup://directions/FAT Viewer?action=UPDATE&amp;creator=factset&amp;DYN_ARGS=TRUE&amp;DOC_NAME=FAT:FQL_AUDITING_CLIENT_TEMPLATE.FAT&amp;display_string=Audit&amp;VAR:KEY=RSHADGRKFK&amp;VAR:QUERY=RkZfREVCVF9MVChRVFIsMzk1OTgsMzk1OTgp&amp;WINDOW=FIRST_POPUP&amp;HEIGHT=450&amp;WIDTH=450&amp;START_MA","XIMIZED=FALSE&amp;VAR:CALENDAR=FIVEDAY&amp;VAR:SYMBOL=455710&amp;VAR:INDEX=0"}</definedName>
    <definedName name="_685__FDSAUDITLINK__" hidden="1">{"fdsup://directions/FAT Viewer?action=UPDATE&amp;creator=factset&amp;DYN_ARGS=TRUE&amp;DOC_NAME=FAT:FQL_AUDITING_CLIENT_TEMPLATE.FAT&amp;display_string=Audit&amp;VAR:KEY=VMNCPODUJK&amp;VAR:QUERY=RkZfREVCVF9MVChRVFIsMzk1OTEsMzk1OTEp&amp;WINDOW=FIRST_POPUP&amp;HEIGHT=450&amp;WIDTH=450&amp;START_MA","XIMIZED=FALSE&amp;VAR:CALENDAR=FIVEDAY&amp;VAR:SYMBOL=455710&amp;VAR:INDEX=0"}</definedName>
    <definedName name="_686__FDSAUDITLINK__" hidden="1">{"fdsup://directions/FAT Viewer?action=UPDATE&amp;creator=factset&amp;DYN_ARGS=TRUE&amp;DOC_NAME=FAT:FQL_AUDITING_CLIENT_TEMPLATE.FAT&amp;display_string=Audit&amp;VAR:KEY=BSRAVWFGBQ&amp;VAR:QUERY=RkZfREVCVF9MVChRVFIsMzk1ODQsMzk1ODQp&amp;WINDOW=FIRST_POPUP&amp;HEIGHT=450&amp;WIDTH=450&amp;START_MA","XIMIZED=FALSE&amp;VAR:CALENDAR=FIVEDAY&amp;VAR:SYMBOL=455710&amp;VAR:INDEX=0"}</definedName>
    <definedName name="_687__FDSAUDITLINK__" hidden="1">{"fdsup://directions/FAT Viewer?action=UPDATE&amp;creator=factset&amp;DYN_ARGS=TRUE&amp;DOC_NAME=FAT:FQL_AUDITING_CLIENT_TEMPLATE.FAT&amp;display_string=Audit&amp;VAR:KEY=NIJSDENQLE&amp;VAR:QUERY=RkZfREVCVF9MVChRVFIsMzk1NzcsMzk1Nzcp&amp;WINDOW=FIRST_POPUP&amp;HEIGHT=450&amp;WIDTH=450&amp;START_MA","XIMIZED=FALSE&amp;VAR:CALENDAR=FIVEDAY&amp;VAR:SYMBOL=455710&amp;VAR:INDEX=0"}</definedName>
    <definedName name="_688__FDSAUDITLINK__" hidden="1">{"fdsup://directions/FAT Viewer?action=UPDATE&amp;creator=factset&amp;DYN_ARGS=TRUE&amp;DOC_NAME=FAT:FQL_AUDITING_CLIENT_TEMPLATE.FAT&amp;display_string=Audit&amp;VAR:KEY=FYVGZCBKXC&amp;VAR:QUERY=RkZfREVCVF9MVChRVFIsMzk1NzAsMzk1NzAp&amp;WINDOW=FIRST_POPUP&amp;HEIGHT=450&amp;WIDTH=450&amp;START_MA","XIMIZED=FALSE&amp;VAR:CALENDAR=FIVEDAY&amp;VAR:SYMBOL=455710&amp;VAR:INDEX=0"}</definedName>
    <definedName name="_689__FDSAUDITLINK__" hidden="1">{"fdsup://directions/FAT Viewer?action=UPDATE&amp;creator=factset&amp;DYN_ARGS=TRUE&amp;DOC_NAME=FAT:FQL_AUDITING_CLIENT_TEMPLATE.FAT&amp;display_string=Audit&amp;VAR:KEY=JATQZKTQNY&amp;VAR:QUERY=RkZfREVCVF9MVChRVFIsMzk1NjMsMzk1NjMp&amp;WINDOW=FIRST_POPUP&amp;HEIGHT=450&amp;WIDTH=450&amp;START_MA","XIMIZED=FALSE&amp;VAR:CALENDAR=FIVEDAY&amp;VAR:SYMBOL=455710&amp;VAR:INDEX=0"}</definedName>
    <definedName name="_69__FDSAUDITLINK__" hidden="1">{"fdsup://IBCentral/FAT Viewer?action=UPDATE&amp;creator=factset&amp;DOC_NAME=fat:reuters_annual_shs_src_window.fat&amp;display_string=Audit&amp;DYN_ARGS=TRUE&amp;VAR:ID1=76775410&amp;VAR:RCODE=FDSSHSOUTDEPS&amp;VAR:SDATE=20030299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90__FDSAUDITLINK__" hidden="1">{"fdsup://directions/FAT Viewer?action=UPDATE&amp;creator=factset&amp;DYN_ARGS=TRUE&amp;DOC_NAME=FAT:FQL_AUDITING_CLIENT_TEMPLATE.FAT&amp;display_string=Audit&amp;VAR:KEY=DSHUBCVWHO&amp;VAR:QUERY=RkZfREVCVF9MVChRVFIsMzk1NTYsMzk1NTYp&amp;WINDOW=FIRST_POPUP&amp;HEIGHT=450&amp;WIDTH=450&amp;START_MA","XIMIZED=FALSE&amp;VAR:CALENDAR=FIVEDAY&amp;VAR:SYMBOL=455710&amp;VAR:INDEX=0"}</definedName>
    <definedName name="_691__FDSAUDITLINK__" hidden="1">{"fdsup://directions/FAT Viewer?action=UPDATE&amp;creator=factset&amp;DYN_ARGS=TRUE&amp;DOC_NAME=FAT:FQL_AUDITING_CLIENT_TEMPLATE.FAT&amp;display_string=Audit&amp;VAR:KEY=PMVYVIXUXE&amp;VAR:QUERY=RkZfREVCVF9MVChRVFIsMzk3MTcsMzk3MTcp&amp;WINDOW=FIRST_POPUP&amp;HEIGHT=450&amp;WIDTH=450&amp;START_MA","XIMIZED=FALSE&amp;VAR:CALENDAR=FIVEDAY&amp;VAR:SYMBOL=455710&amp;VAR:INDEX=0"}</definedName>
    <definedName name="_692__FDSAUDITLINK__" hidden="1">{"fdsup://directions/FAT Viewer?action=UPDATE&amp;creator=factset&amp;DYN_ARGS=TRUE&amp;DOC_NAME=FAT:FQL_AUDITING_CLIENT_TEMPLATE.FAT&amp;display_string=Audit&amp;VAR:KEY=DKDQBIZYLO&amp;VAR:QUERY=RkZfREVCVF9MVChRVFIsMzk3MTAsMzk3MTAp&amp;WINDOW=FIRST_POPUP&amp;HEIGHT=450&amp;WIDTH=450&amp;START_MA","XIMIZED=FALSE&amp;VAR:CALENDAR=FIVEDAY&amp;VAR:SYMBOL=455710&amp;VAR:INDEX=0"}</definedName>
    <definedName name="_693__FDSAUDITLINK__" hidden="1">{"fdsup://directions/FAT Viewer?action=UPDATE&amp;creator=factset&amp;DYN_ARGS=TRUE&amp;DOC_NAME=FAT:FQL_AUDITING_CLIENT_TEMPLATE.FAT&amp;display_string=Audit&amp;VAR:KEY=ZUHUPGHOHQ&amp;VAR:QUERY=RkZfREVCVF9MVChRVFIsMzk3MDMsMzk3MDMp&amp;WINDOW=FIRST_POPUP&amp;HEIGHT=450&amp;WIDTH=450&amp;START_MA","XIMIZED=FALSE&amp;VAR:CALENDAR=FIVEDAY&amp;VAR:SYMBOL=455710&amp;VAR:INDEX=0"}</definedName>
    <definedName name="_694__FDSAUDITLINK__" hidden="1">{"fdsup://directions/FAT Viewer?action=UPDATE&amp;creator=factset&amp;DYN_ARGS=TRUE&amp;DOC_NAME=FAT:FQL_AUDITING_CLIENT_TEMPLATE.FAT&amp;display_string=Audit&amp;VAR:KEY=FAPWTOXCVM&amp;VAR:QUERY=RkZfREVCVF9MVChRVFIsMzk2OTYsMzk2OTYp&amp;WINDOW=FIRST_POPUP&amp;HEIGHT=450&amp;WIDTH=450&amp;START_MA","XIMIZED=FALSE&amp;VAR:CALENDAR=FIVEDAY&amp;VAR:SYMBOL=455710&amp;VAR:INDEX=0"}</definedName>
    <definedName name="_695__FDSAUDITLINK__" hidden="1">{"fdsup://directions/FAT Viewer?action=UPDATE&amp;creator=factset&amp;DYN_ARGS=TRUE&amp;DOC_NAME=FAT:FQL_AUDITING_CLIENT_TEMPLATE.FAT&amp;display_string=Audit&amp;VAR:KEY=VQPSFYFQVY&amp;VAR:QUERY=RkZfREVCVF9MVChRVFIsMzk2ODksMzk2ODkp&amp;WINDOW=FIRST_POPUP&amp;HEIGHT=450&amp;WIDTH=450&amp;START_MA","XIMIZED=FALSE&amp;VAR:CALENDAR=FIVEDAY&amp;VAR:SYMBOL=455710&amp;VAR:INDEX=0"}</definedName>
    <definedName name="_696__FDSAUDITLINK__" hidden="1">{"fdsup://directions/FAT Viewer?action=UPDATE&amp;creator=factset&amp;DYN_ARGS=TRUE&amp;DOC_NAME=FAT:FQL_AUDITING_CLIENT_TEMPLATE.FAT&amp;display_string=Audit&amp;VAR:KEY=DMTYXKXYPC&amp;VAR:QUERY=RkZfREVCVF9MVChRVFIsMzk2ODIsMzk2ODIp&amp;WINDOW=FIRST_POPUP&amp;HEIGHT=450&amp;WIDTH=450&amp;START_MA","XIMIZED=FALSE&amp;VAR:CALENDAR=FIVEDAY&amp;VAR:SYMBOL=455710&amp;VAR:INDEX=0"}</definedName>
    <definedName name="_697__FDSAUDITLINK__" hidden="1">{"fdsup://directions/FAT Viewer?action=UPDATE&amp;creator=factset&amp;DYN_ARGS=TRUE&amp;DOC_NAME=FAT:FQL_AUDITING_CLIENT_TEMPLATE.FAT&amp;display_string=Audit&amp;VAR:KEY=BIRYXKJQDS&amp;VAR:QUERY=RkZfREVCVF9MVChRVFIsMzk2NzUsMzk2NzUp&amp;WINDOW=FIRST_POPUP&amp;HEIGHT=450&amp;WIDTH=450&amp;START_MA","XIMIZED=FALSE&amp;VAR:CALENDAR=FIVEDAY&amp;VAR:SYMBOL=455710&amp;VAR:INDEX=0"}</definedName>
    <definedName name="_698__FDSAUDITLINK__" hidden="1">{"fdsup://directions/FAT Viewer?action=UPDATE&amp;creator=factset&amp;DYN_ARGS=TRUE&amp;DOC_NAME=FAT:FQL_AUDITING_CLIENT_TEMPLATE.FAT&amp;display_string=Audit&amp;VAR:KEY=BEZIJOLODC&amp;VAR:QUERY=RkZfREVCVF9MVChRVFIsMzk2NjgsMzk2Njgp&amp;WINDOW=FIRST_POPUP&amp;HEIGHT=450&amp;WIDTH=450&amp;START_MA","XIMIZED=FALSE&amp;VAR:CALENDAR=FIVEDAY&amp;VAR:SYMBOL=455710&amp;VAR:INDEX=0"}</definedName>
    <definedName name="_699__FDSAUDITLINK__" hidden="1">{"fdsup://directions/FAT Viewer?action=UPDATE&amp;creator=factset&amp;DYN_ARGS=TRUE&amp;DOC_NAME=FAT:FQL_AUDITING_CLIENT_TEMPLATE.FAT&amp;display_string=Audit&amp;VAR:KEY=XKDKPUPKDS&amp;VAR:QUERY=RkZfREVCVF9MVChRVFIsMzk2NjEsMzk2NjEp&amp;WINDOW=FIRST_POPUP&amp;HEIGHT=450&amp;WIDTH=450&amp;START_MA","XIMIZED=FALSE&amp;VAR:CALENDAR=FIVEDAY&amp;VAR:SYMBOL=455710&amp;VAR:INDEX=0"}</definedName>
    <definedName name="_7__FDSAUDITLINK__" hidden="1">{"fdsup://directions/FAT Viewer?action=UPDATE&amp;creator=factset&amp;DYN_ARGS=TRUE&amp;DOC_NAME=FAT:FQL_AUDITING_CLIENT_TEMPLATE.FAT&amp;display_string=Audit&amp;VAR:KEY=AXUJMTYNKP&amp;VAR:QUERY=RkZfRUJJVF9PUEVSKEFOTiwyMDExKQ==&amp;WINDOW=FIRST_POPUP&amp;HEIGHT=450&amp;WIDTH=450&amp;START_MAXIMI","ZED=FALSE&amp;VAR:CALENDAR=FIVEDAY&amp;VAR:SYMBOL=508657&amp;VAR:INDEX=0"}</definedName>
    <definedName name="_70__FDSAUDITLINK__" hidden="1">{"fdsup://IBCentral/FAT Viewer?action=UPDATE&amp;creator=factset&amp;DOC_NAME=fat:reuters_annual_shs_src_window.fat&amp;display_string=Audit&amp;DYN_ARGS=TRUE&amp;VAR:ID1=76775410&amp;VAR:RCODE=FDSSHSOUTDEPS&amp;VAR:SDATE=20020299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700__FDSAUDITLINK__" hidden="1">{"fdsup://directions/FAT Viewer?action=UPDATE&amp;creator=factset&amp;DYN_ARGS=TRUE&amp;DOC_NAME=FAT:FQL_AUDITING_CLIENT_TEMPLATE.FAT&amp;display_string=Audit&amp;VAR:KEY=PCNKXYRUPQ&amp;VAR:QUERY=RkZfREVCVF9MVChRVFIsMzk2NTQsMzk2NTQp&amp;WINDOW=FIRST_POPUP&amp;HEIGHT=450&amp;WIDTH=450&amp;START_MA","XIMIZED=FALSE&amp;VAR:CALENDAR=FIVEDAY&amp;VAR:SYMBOL=455710&amp;VAR:INDEX=0"}</definedName>
    <definedName name="_701__FDSAUDITLINK__" hidden="1">{"fdsup://directions/FAT Viewer?action=UPDATE&amp;creator=factset&amp;DYN_ARGS=TRUE&amp;DOC_NAME=FAT:FQL_AUDITING_CLIENT_TEMPLATE.FAT&amp;display_string=Audit&amp;VAR:KEY=RSZGNYLYNE&amp;VAR:QUERY=RkZfREVCVF9MVChRVFIsMzk2NDcsMzk2NDcp&amp;WINDOW=FIRST_POPUP&amp;HEIGHT=450&amp;WIDTH=450&amp;START_MA","XIMIZED=FALSE&amp;VAR:CALENDAR=FIVEDAY&amp;VAR:SYMBOL=455710&amp;VAR:INDEX=0"}</definedName>
    <definedName name="_702__FDSAUDITLINK__" hidden="1">{"fdsup://directions/FAT Viewer?action=UPDATE&amp;creator=factset&amp;DYN_ARGS=TRUE&amp;DOC_NAME=FAT:FQL_AUDITING_CLIENT_TEMPLATE.FAT&amp;display_string=Audit&amp;VAR:KEY=HUHEXEFQLG&amp;VAR:QUERY=RkZfREVCVF9MVChRVFIsMzk4MDgsMzk4MDgp&amp;WINDOW=FIRST_POPUP&amp;HEIGHT=450&amp;WIDTH=450&amp;START_MA","XIMIZED=FALSE&amp;VAR:CALENDAR=FIVEDAY&amp;VAR:SYMBOL=455710&amp;VAR:INDEX=0"}</definedName>
    <definedName name="_703__FDSAUDITLINK__" hidden="1">{"fdsup://directions/FAT Viewer?action=UPDATE&amp;creator=factset&amp;DYN_ARGS=TRUE&amp;DOC_NAME=FAT:FQL_AUDITING_CLIENT_TEMPLATE.FAT&amp;display_string=Audit&amp;VAR:KEY=HMBQBAXYVE&amp;VAR:QUERY=RkZfREVCVF9MVChRVFIsMzk4MDEsMzk4MDEp&amp;WINDOW=FIRST_POPUP&amp;HEIGHT=450&amp;WIDTH=450&amp;START_MA","XIMIZED=FALSE&amp;VAR:CALENDAR=FIVEDAY&amp;VAR:SYMBOL=455710&amp;VAR:INDEX=0"}</definedName>
    <definedName name="_704__FDSAUDITLINK__" hidden="1">{"fdsup://directions/FAT Viewer?action=UPDATE&amp;creator=factset&amp;DYN_ARGS=TRUE&amp;DOC_NAME=FAT:FQL_AUDITING_CLIENT_TEMPLATE.FAT&amp;display_string=Audit&amp;VAR:KEY=PMPSTMVUTQ&amp;VAR:QUERY=RkZfREVCVF9MVChRVFIsMzk3OTQsMzk3OTQp&amp;WINDOW=FIRST_POPUP&amp;HEIGHT=450&amp;WIDTH=450&amp;START_MA","XIMIZED=FALSE&amp;VAR:CALENDAR=FIVEDAY&amp;VAR:SYMBOL=455710&amp;VAR:INDEX=0"}</definedName>
    <definedName name="_705__FDSAUDITLINK__" hidden="1">{"fdsup://directions/FAT Viewer?action=UPDATE&amp;creator=factset&amp;DYN_ARGS=TRUE&amp;DOC_NAME=FAT:FQL_AUDITING_CLIENT_TEMPLATE.FAT&amp;display_string=Audit&amp;VAR:KEY=XSFIBGBIXS&amp;VAR:QUERY=RkZfREVCVF9MVChRVFIsMzk3ODcsMzk3ODcp&amp;WINDOW=FIRST_POPUP&amp;HEIGHT=450&amp;WIDTH=450&amp;START_MA","XIMIZED=FALSE&amp;VAR:CALENDAR=FIVEDAY&amp;VAR:SYMBOL=455710&amp;VAR:INDEX=0"}</definedName>
    <definedName name="_706__FDSAUDITLINK__" hidden="1">{"fdsup://directions/FAT Viewer?action=UPDATE&amp;creator=factset&amp;DYN_ARGS=TRUE&amp;DOC_NAME=FAT:FQL_AUDITING_CLIENT_TEMPLATE.FAT&amp;display_string=Audit&amp;VAR:KEY=FYRYTMTYHU&amp;VAR:QUERY=RkZfREVCVF9MVChRVFIsMzk3ODAsMzk3ODAp&amp;WINDOW=FIRST_POPUP&amp;HEIGHT=450&amp;WIDTH=450&amp;START_MA","XIMIZED=FALSE&amp;VAR:CALENDAR=FIVEDAY&amp;VAR:SYMBOL=455710&amp;VAR:INDEX=0"}</definedName>
    <definedName name="_707__FDSAUDITLINK__" hidden="1">{"fdsup://directions/FAT Viewer?action=UPDATE&amp;creator=factset&amp;DYN_ARGS=TRUE&amp;DOC_NAME=FAT:FQL_AUDITING_CLIENT_TEMPLATE.FAT&amp;display_string=Audit&amp;VAR:KEY=PQDQHAPWZA&amp;VAR:QUERY=RkZfREVCVF9MVChRVFIsMzk3NzMsMzk3NzMp&amp;WINDOW=FIRST_POPUP&amp;HEIGHT=450&amp;WIDTH=450&amp;START_MA","XIMIZED=FALSE&amp;VAR:CALENDAR=FIVEDAY&amp;VAR:SYMBOL=455710&amp;VAR:INDEX=0"}</definedName>
    <definedName name="_708__FDSAUDITLINK__" hidden="1">{"fdsup://directions/FAT Viewer?action=UPDATE&amp;creator=factset&amp;DYN_ARGS=TRUE&amp;DOC_NAME=FAT:FQL_AUDITING_CLIENT_TEMPLATE.FAT&amp;display_string=Audit&amp;VAR:KEY=BQFUNQNWZS&amp;VAR:QUERY=RkZfREVCVF9MVChRVFIsMzk3NjYsMzk3NjYp&amp;WINDOW=FIRST_POPUP&amp;HEIGHT=450&amp;WIDTH=450&amp;START_MA","XIMIZED=FALSE&amp;VAR:CALENDAR=FIVEDAY&amp;VAR:SYMBOL=455710&amp;VAR:INDEX=0"}</definedName>
    <definedName name="_709__FDSAUDITLINK__" hidden="1">{"fdsup://directions/FAT Viewer?action=UPDATE&amp;creator=factset&amp;DYN_ARGS=TRUE&amp;DOC_NAME=FAT:FQL_AUDITING_CLIENT_TEMPLATE.FAT&amp;display_string=Audit&amp;VAR:KEY=LINEHIXEZM&amp;VAR:QUERY=RkZfREVCVF9MVChRVFIsMzk3NTksMzk3NTkp&amp;WINDOW=FIRST_POPUP&amp;HEIGHT=450&amp;WIDTH=450&amp;START_MA","XIMIZED=FALSE&amp;VAR:CALENDAR=FIVEDAY&amp;VAR:SYMBOL=455710&amp;VAR:INDEX=0"}</definedName>
    <definedName name="_71__FDSAUDITLINK__" hidden="1">{"fdsup://IBCentral/FAT Viewer?action=UPDATE&amp;creator=factset&amp;DOC_NAME=fat:reuters_annual_shs_src_window.fat&amp;display_string=Audit&amp;DYN_ARGS=TRUE&amp;VAR:ID1=76775410&amp;VAR:RCODE=FDSSHSOUTDEPS&amp;VAR:SDATE=20010299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710__FDSAUDITLINK__" hidden="1">{"fdsup://directions/FAT Viewer?action=UPDATE&amp;creator=factset&amp;DYN_ARGS=TRUE&amp;DOC_NAME=FAT:FQL_AUDITING_CLIENT_TEMPLATE.FAT&amp;display_string=Audit&amp;VAR:KEY=VKXAPCXCTA&amp;VAR:QUERY=RkZfREVCVF9MVChRVFIsMzk3NTIsMzk3NTIp&amp;WINDOW=FIRST_POPUP&amp;HEIGHT=450&amp;WIDTH=450&amp;START_MA","XIMIZED=FALSE&amp;VAR:CALENDAR=FIVEDAY&amp;VAR:SYMBOL=455710&amp;VAR:INDEX=0"}</definedName>
    <definedName name="_711__FDSAUDITLINK__" hidden="1">{"fdsup://directions/FAT Viewer?action=UPDATE&amp;creator=factset&amp;DYN_ARGS=TRUE&amp;DOC_NAME=FAT:FQL_AUDITING_CLIENT_TEMPLATE.FAT&amp;display_string=Audit&amp;VAR:KEY=PGJOHGPIHK&amp;VAR:QUERY=RkZfREVCVF9MVChRVFIsMzk3NDUsMzk3NDUp&amp;WINDOW=FIRST_POPUP&amp;HEIGHT=450&amp;WIDTH=450&amp;START_MA","XIMIZED=FALSE&amp;VAR:CALENDAR=FIVEDAY&amp;VAR:SYMBOL=455710&amp;VAR:INDEX=0"}</definedName>
    <definedName name="_712__FDSAUDITLINK__" hidden="1">{"fdsup://directions/FAT Viewer?action=UPDATE&amp;creator=factset&amp;DYN_ARGS=TRUE&amp;DOC_NAME=FAT:FQL_AUDITING_CLIENT_TEMPLATE.FAT&amp;display_string=Audit&amp;VAR:KEY=XCXGHCVOLU&amp;VAR:QUERY=RkZfREVCVF9MVChRVFIsMzk3MzgsMzk3Mzgp&amp;WINDOW=FIRST_POPUP&amp;HEIGHT=450&amp;WIDTH=450&amp;START_MA","XIMIZED=FALSE&amp;VAR:CALENDAR=FIVEDAY&amp;VAR:SYMBOL=455710&amp;VAR:INDEX=0"}</definedName>
    <definedName name="_713__FDSAUDITLINK__" hidden="1">{"fdsup://directions/FAT Viewer?action=UPDATE&amp;creator=factset&amp;DYN_ARGS=TRUE&amp;DOC_NAME=FAT:FQL_AUDITING_CLIENT_TEMPLATE.FAT&amp;display_string=Audit&amp;VAR:KEY=PITYFMNKZQ&amp;VAR:QUERY=RkZfREVCVF9MVChRVFIsMzk5OTAsMzk5OTAp&amp;WINDOW=FIRST_POPUP&amp;HEIGHT=450&amp;WIDTH=450&amp;START_MA","XIMIZED=FALSE&amp;VAR:CALENDAR=FIVEDAY&amp;VAR:SYMBOL=455710&amp;VAR:INDEX=0"}</definedName>
    <definedName name="_714__FDSAUDITLINK__" hidden="1">{"fdsup://directions/FAT Viewer?action=UPDATE&amp;creator=factset&amp;DYN_ARGS=TRUE&amp;DOC_NAME=FAT:FQL_AUDITING_CLIENT_TEMPLATE.FAT&amp;display_string=Audit&amp;VAR:KEY=VOREJIFEBQ&amp;VAR:QUERY=RkZfREVCVF9MVChRVFIsMzk5ODMsMzk5ODMp&amp;WINDOW=FIRST_POPUP&amp;HEIGHT=450&amp;WIDTH=450&amp;START_MA","XIMIZED=FALSE&amp;VAR:CALENDAR=FIVEDAY&amp;VAR:SYMBOL=455710&amp;VAR:INDEX=0"}</definedName>
    <definedName name="_715__FDSAUDITLINK__" hidden="1">{"fdsup://directions/FAT Viewer?action=UPDATE&amp;creator=factset&amp;DYN_ARGS=TRUE&amp;DOC_NAME=FAT:FQL_AUDITING_CLIENT_TEMPLATE.FAT&amp;display_string=Audit&amp;VAR:KEY=BMZKBUFGDS&amp;VAR:QUERY=RkZfREVCVF9MVChRVFIsMzk5NzYsMzk5NzYp&amp;WINDOW=FIRST_POPUP&amp;HEIGHT=450&amp;WIDTH=450&amp;START_MA","XIMIZED=FALSE&amp;VAR:CALENDAR=FIVEDAY&amp;VAR:SYMBOL=455710&amp;VAR:INDEX=0"}</definedName>
    <definedName name="_716__FDSAUDITLINK__" hidden="1">{"fdsup://directions/FAT Viewer?action=UPDATE&amp;creator=factset&amp;DYN_ARGS=TRUE&amp;DOC_NAME=FAT:FQL_AUDITING_CLIENT_TEMPLATE.FAT&amp;display_string=Audit&amp;VAR:KEY=RIPKRSVGDK&amp;VAR:QUERY=RkZfREVCVF9MVChRVFIsMzk5NjksMzk5Njkp&amp;WINDOW=FIRST_POPUP&amp;HEIGHT=450&amp;WIDTH=450&amp;START_MA","XIMIZED=FALSE&amp;VAR:CALENDAR=FIVEDAY&amp;VAR:SYMBOL=455710&amp;VAR:INDEX=0"}</definedName>
    <definedName name="_717__FDSAUDITLINK__" hidden="1">{"fdsup://directions/FAT Viewer?action=UPDATE&amp;creator=factset&amp;DYN_ARGS=TRUE&amp;DOC_NAME=FAT:FQL_AUDITING_CLIENT_TEMPLATE.FAT&amp;display_string=Audit&amp;VAR:KEY=DQJWLMZIBE&amp;VAR:QUERY=RkZfREVCVF9MVChRVFIsMzk5NjIsMzk5NjIp&amp;WINDOW=FIRST_POPUP&amp;HEIGHT=450&amp;WIDTH=450&amp;START_MA","XIMIZED=FALSE&amp;VAR:CALENDAR=FIVEDAY&amp;VAR:SYMBOL=455710&amp;VAR:INDEX=0"}</definedName>
    <definedName name="_718__FDSAUDITLINK__" hidden="1">{"fdsup://directions/FAT Viewer?action=UPDATE&amp;creator=factset&amp;DYN_ARGS=TRUE&amp;DOC_NAME=FAT:FQL_AUDITING_CLIENT_TEMPLATE.FAT&amp;display_string=Audit&amp;VAR:KEY=JMRAPWVUJY&amp;VAR:QUERY=RkZfREVCVF9MVChRVFIsMzk5NTUsMzk5NTUp&amp;WINDOW=FIRST_POPUP&amp;HEIGHT=450&amp;WIDTH=450&amp;START_MA","XIMIZED=FALSE&amp;VAR:CALENDAR=FIVEDAY&amp;VAR:SYMBOL=455710&amp;VAR:INDEX=0"}</definedName>
    <definedName name="_719__FDSAUDITLINK__" hidden="1">{"fdsup://directions/FAT Viewer?action=UPDATE&amp;creator=factset&amp;DYN_ARGS=TRUE&amp;DOC_NAME=FAT:FQL_AUDITING_CLIENT_TEMPLATE.FAT&amp;display_string=Audit&amp;VAR:KEY=ZOJORQBEHM&amp;VAR:QUERY=RkZfREVCVF9MVChRVFIsMzk5NDgsMzk5NDgp&amp;WINDOW=FIRST_POPUP&amp;HEIGHT=450&amp;WIDTH=450&amp;START_MA","XIMIZED=FALSE&amp;VAR:CALENDAR=FIVEDAY&amp;VAR:SYMBOL=455710&amp;VAR:INDEX=0"}</definedName>
    <definedName name="_72__FDSAUDITLINK__" hidden="1">{"fdsup://IBCentral/FAT Viewer?action=UPDATE&amp;creator=factset&amp;DOC_NAME=fat:reuters_annual_shs_src_window.fat&amp;display_string=Audit&amp;DYN_ARGS=TRUE&amp;VAR:ID1=76775410&amp;VAR:RCODE=FDSSHSOUTDEPS&amp;VAR:SDATE=20000299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720__FDSAUDITLINK__" hidden="1">{"fdsup://directions/FAT Viewer?action=UPDATE&amp;creator=factset&amp;DYN_ARGS=TRUE&amp;DOC_NAME=FAT:FQL_AUDITING_CLIENT_TEMPLATE.FAT&amp;display_string=Audit&amp;VAR:KEY=HSRQHOLONM&amp;VAR:QUERY=RkZfREVCVF9MVChRVFIsMzk5NDEsMzk5NDEp&amp;WINDOW=FIRST_POPUP&amp;HEIGHT=450&amp;WIDTH=450&amp;START_MA","XIMIZED=FALSE&amp;VAR:CALENDAR=FIVEDAY&amp;VAR:SYMBOL=455710&amp;VAR:INDEX=0"}</definedName>
    <definedName name="_721__FDSAUDITLINK__" hidden="1">{"fdsup://directions/FAT Viewer?action=UPDATE&amp;creator=factset&amp;DYN_ARGS=TRUE&amp;DOC_NAME=FAT:FQL_AUDITING_CLIENT_TEMPLATE.FAT&amp;display_string=Audit&amp;VAR:KEY=LCLQHYVCRY&amp;VAR:QUERY=RkZfREVCVF9MVChRVFIsMzk5MzQsMzk5MzQp&amp;WINDOW=FIRST_POPUP&amp;HEIGHT=450&amp;WIDTH=450&amp;START_MA","XIMIZED=FALSE&amp;VAR:CALENDAR=FIVEDAY&amp;VAR:SYMBOL=455710&amp;VAR:INDEX=0"}</definedName>
    <definedName name="_722__FDSAUDITLINK__" hidden="1">{"fdsup://directions/FAT Viewer?action=UPDATE&amp;creator=factset&amp;DYN_ARGS=TRUE&amp;DOC_NAME=FAT:FQL_AUDITING_CLIENT_TEMPLATE.FAT&amp;display_string=Audit&amp;VAR:KEY=NYJGVADMXM&amp;VAR:QUERY=RkZfREVCVF9MVChRVFIsMzk5MjcsMzk5Mjcp&amp;WINDOW=FIRST_POPUP&amp;HEIGHT=450&amp;WIDTH=450&amp;START_MA","XIMIZED=FALSE&amp;VAR:CALENDAR=FIVEDAY&amp;VAR:SYMBOL=455710&amp;VAR:INDEX=0"}</definedName>
    <definedName name="_723__FDSAUDITLINK__" hidden="1">{"fdsup://directions/FAT Viewer?action=UPDATE&amp;creator=factset&amp;DYN_ARGS=TRUE&amp;DOC_NAME=FAT:FQL_AUDITING_CLIENT_TEMPLATE.FAT&amp;display_string=Audit&amp;VAR:KEY=ZCNQPCJERC&amp;VAR:QUERY=RkZfREVCVF9MVChRVFIsMzk5MjAsMzk5MjAp&amp;WINDOW=FIRST_POPUP&amp;HEIGHT=450&amp;WIDTH=450&amp;START_MA","XIMIZED=FALSE&amp;VAR:CALENDAR=FIVEDAY&amp;VAR:SYMBOL=455710&amp;VAR:INDEX=0"}</definedName>
    <definedName name="_724__FDSAUDITLINK__" hidden="1">{"fdsup://directions/FAT Viewer?action=UPDATE&amp;creator=factset&amp;DYN_ARGS=TRUE&amp;DOC_NAME=FAT:FQL_AUDITING_CLIENT_TEMPLATE.FAT&amp;display_string=Audit&amp;VAR:KEY=XCHSTYJYBE&amp;VAR:QUERY=RkZfREVCVF9MVChRVFIsNDAwODEsNDAwODEp&amp;WINDOW=FIRST_POPUP&amp;HEIGHT=450&amp;WIDTH=450&amp;START_MA","XIMIZED=FALSE&amp;VAR:CALENDAR=FIVEDAY&amp;VAR:SYMBOL=455710&amp;VAR:INDEX=0"}</definedName>
    <definedName name="_725__FDSAUDITLINK__" hidden="1">{"fdsup://directions/FAT Viewer?action=UPDATE&amp;creator=factset&amp;DYN_ARGS=TRUE&amp;DOC_NAME=FAT:FQL_AUDITING_CLIENT_TEMPLATE.FAT&amp;display_string=Audit&amp;VAR:KEY=RQZKDALSTG&amp;VAR:QUERY=RkZfREVCVF9MVChRVFIsNDAwNzQsNDAwNzQp&amp;WINDOW=FIRST_POPUP&amp;HEIGHT=450&amp;WIDTH=450&amp;START_MA","XIMIZED=FALSE&amp;VAR:CALENDAR=FIVEDAY&amp;VAR:SYMBOL=455710&amp;VAR:INDEX=0"}</definedName>
    <definedName name="_726__FDSAUDITLINK__" hidden="1">{"fdsup://directions/FAT Viewer?action=UPDATE&amp;creator=factset&amp;DYN_ARGS=TRUE&amp;DOC_NAME=FAT:FQL_AUDITING_CLIENT_TEMPLATE.FAT&amp;display_string=Audit&amp;VAR:KEY=DMDWJCBQRO&amp;VAR:QUERY=RkZfREVCVF9MVChRVFIsNDAwNjcsNDAwNjcp&amp;WINDOW=FIRST_POPUP&amp;HEIGHT=450&amp;WIDTH=450&amp;START_MA","XIMIZED=FALSE&amp;VAR:CALENDAR=FIVEDAY&amp;VAR:SYMBOL=455710&amp;VAR:INDEX=0"}</definedName>
    <definedName name="_727__FDSAUDITLINK__" hidden="1">{"fdsup://directions/FAT Viewer?action=UPDATE&amp;creator=factset&amp;DYN_ARGS=TRUE&amp;DOC_NAME=FAT:FQL_AUDITING_CLIENT_TEMPLATE.FAT&amp;display_string=Audit&amp;VAR:KEY=FUHEJADGJE&amp;VAR:QUERY=RkZfREVCVF9MVChRVFIsNDAwNjAsNDAwNjAp&amp;WINDOW=FIRST_POPUP&amp;HEIGHT=450&amp;WIDTH=450&amp;START_MA","XIMIZED=FALSE&amp;VAR:CALENDAR=FIVEDAY&amp;VAR:SYMBOL=455710&amp;VAR:INDEX=0"}</definedName>
    <definedName name="_728__FDSAUDITLINK__" hidden="1">{"fdsup://directions/FAT Viewer?action=UPDATE&amp;creator=factset&amp;DYN_ARGS=TRUE&amp;DOC_NAME=FAT:FQL_AUDITING_CLIENT_TEMPLATE.FAT&amp;display_string=Audit&amp;VAR:KEY=FITGLEZYZS&amp;VAR:QUERY=RkZfREVCVF9MVChRVFIsNDAwNTMsNDAwNTMp&amp;WINDOW=FIRST_POPUP&amp;HEIGHT=450&amp;WIDTH=450&amp;START_MA","XIMIZED=FALSE&amp;VAR:CALENDAR=FIVEDAY&amp;VAR:SYMBOL=455710&amp;VAR:INDEX=0"}</definedName>
    <definedName name="_729__FDSAUDITLINK__" hidden="1">{"fdsup://directions/FAT Viewer?action=UPDATE&amp;creator=factset&amp;DYN_ARGS=TRUE&amp;DOC_NAME=FAT:FQL_AUDITING_CLIENT_TEMPLATE.FAT&amp;display_string=Audit&amp;VAR:KEY=LQJOTYHIFM&amp;VAR:QUERY=RkZfREVCVF9MVChRVFIsNDAwNDYsNDAwNDYp&amp;WINDOW=FIRST_POPUP&amp;HEIGHT=450&amp;WIDTH=450&amp;START_MA","XIMIZED=FALSE&amp;VAR:CALENDAR=FIVEDAY&amp;VAR:SYMBOL=455710&amp;VAR:INDEX=0"}</definedName>
    <definedName name="_73__FDSAUDITLINK__" hidden="1">{"fdsup://IBCentral/FAT Viewer?action=UPDATE&amp;creator=factset&amp;DOC_NAME=fat:reuters_annual_shs_src_window.fat&amp;display_string=Audit&amp;DYN_ARGS=TRUE&amp;VAR:ID1=76775410&amp;VAR:RCODE=FDSSHSOUTDEPS&amp;VAR:SDATE=19990299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730__FDSAUDITLINK__" hidden="1">{"fdsup://directions/FAT Viewer?action=UPDATE&amp;creator=factset&amp;DYN_ARGS=TRUE&amp;DOC_NAME=FAT:FQL_AUDITING_CLIENT_TEMPLATE.FAT&amp;display_string=Audit&amp;VAR:KEY=RSNGDGZWRO&amp;VAR:QUERY=RkZfREVCVF9MVChRVFIsNDAwMzksNDAwMzkp&amp;WINDOW=FIRST_POPUP&amp;HEIGHT=450&amp;WIDTH=450&amp;START_MA","XIMIZED=FALSE&amp;VAR:CALENDAR=FIVEDAY&amp;VAR:SYMBOL=455710&amp;VAR:INDEX=0"}</definedName>
    <definedName name="_731__FDSAUDITLINK__" hidden="1">{"fdsup://directions/FAT Viewer?action=UPDATE&amp;creator=factset&amp;DYN_ARGS=TRUE&amp;DOC_NAME=FAT:FQL_AUDITING_CLIENT_TEMPLATE.FAT&amp;display_string=Audit&amp;VAR:KEY=XCVALEPETG&amp;VAR:QUERY=RkZfREVCVF9MVChRVFIsNDAwMzIsNDAwMzIp&amp;WINDOW=FIRST_POPUP&amp;HEIGHT=450&amp;WIDTH=450&amp;START_MA","XIMIZED=FALSE&amp;VAR:CALENDAR=FIVEDAY&amp;VAR:SYMBOL=455710&amp;VAR:INDEX=0"}</definedName>
    <definedName name="_732__FDSAUDITLINK__" hidden="1">{"fdsup://directions/FAT Viewer?action=UPDATE&amp;creator=factset&amp;DYN_ARGS=TRUE&amp;DOC_NAME=FAT:FQL_AUDITING_CLIENT_TEMPLATE.FAT&amp;display_string=Audit&amp;VAR:KEY=FYFGDERCBS&amp;VAR:QUERY=RkZfREVCVF9MVChRVFIsNDAwMjUsNDAwMjUp&amp;WINDOW=FIRST_POPUP&amp;HEIGHT=450&amp;WIDTH=450&amp;START_MA","XIMIZED=FALSE&amp;VAR:CALENDAR=FIVEDAY&amp;VAR:SYMBOL=455710&amp;VAR:INDEX=0"}</definedName>
    <definedName name="_733__FDSAUDITLINK__" hidden="1">{"fdsup://directions/FAT Viewer?action=UPDATE&amp;creator=factset&amp;DYN_ARGS=TRUE&amp;DOC_NAME=FAT:FQL_AUDITING_CLIENT_TEMPLATE.FAT&amp;display_string=Audit&amp;VAR:KEY=ZSNSXABSBM&amp;VAR:QUERY=RkZfREVCVF9MVChRVFIsNDAwMTgsNDAwMTgp&amp;WINDOW=FIRST_POPUP&amp;HEIGHT=450&amp;WIDTH=450&amp;START_MA","XIMIZED=FALSE&amp;VAR:CALENDAR=FIVEDAY&amp;VAR:SYMBOL=455710&amp;VAR:INDEX=0"}</definedName>
    <definedName name="_734__FDSAUDITLINK__" hidden="1">{"fdsup://directions/FAT Viewer?action=UPDATE&amp;creator=factset&amp;DYN_ARGS=TRUE&amp;DOC_NAME=FAT:FQL_AUDITING_CLIENT_TEMPLATE.FAT&amp;display_string=Audit&amp;VAR:KEY=ZWHKPWVEPO&amp;VAR:QUERY=RkZfREVCVF9MVChRVFIsNDAwMTEsNDAwMTEp&amp;WINDOW=FIRST_POPUP&amp;HEIGHT=450&amp;WIDTH=450&amp;START_MA","XIMIZED=FALSE&amp;VAR:CALENDAR=FIVEDAY&amp;VAR:SYMBOL=455710&amp;VAR:INDEX=0"}</definedName>
    <definedName name="_735__FDSAUDITLINK__" hidden="1">{"fdsup://directions/FAT Viewer?action=UPDATE&amp;creator=factset&amp;DYN_ARGS=TRUE&amp;DOC_NAME=FAT:FQL_AUDITING_CLIENT_TEMPLATE.FAT&amp;display_string=Audit&amp;VAR:KEY=HOFGTADOBI&amp;VAR:QUERY=RkZfREVCVF9MVChRVFIsNDAxNzIsNDAxNzIp&amp;WINDOW=FIRST_POPUP&amp;HEIGHT=450&amp;WIDTH=450&amp;START_MA","XIMIZED=FALSE&amp;VAR:CALENDAR=FIVEDAY&amp;VAR:SYMBOL=455710&amp;VAR:INDEX=0"}</definedName>
    <definedName name="_736__FDSAUDITLINK__" hidden="1">{"fdsup://directions/FAT Viewer?action=UPDATE&amp;creator=factset&amp;DYN_ARGS=TRUE&amp;DOC_NAME=FAT:FQL_AUDITING_CLIENT_TEMPLATE.FAT&amp;display_string=Audit&amp;VAR:KEY=NUTCDAZWTC&amp;VAR:QUERY=RkZfREVCVF9MVChRVFIsNDAxNjUsNDAxNjUp&amp;WINDOW=FIRST_POPUP&amp;HEIGHT=450&amp;WIDTH=450&amp;START_MA","XIMIZED=FALSE&amp;VAR:CALENDAR=FIVEDAY&amp;VAR:SYMBOL=455710&amp;VAR:INDEX=0"}</definedName>
    <definedName name="_737__FDSAUDITLINK__" hidden="1">{"fdsup://directions/FAT Viewer?action=UPDATE&amp;creator=factset&amp;DYN_ARGS=TRUE&amp;DOC_NAME=FAT:FQL_AUDITING_CLIENT_TEMPLATE.FAT&amp;display_string=Audit&amp;VAR:KEY=DOVQRMRUPY&amp;VAR:QUERY=RkZfREVCVF9MVChRVFIsNDAxNTgsNDAxNTgp&amp;WINDOW=FIRST_POPUP&amp;HEIGHT=450&amp;WIDTH=450&amp;START_MA","XIMIZED=FALSE&amp;VAR:CALENDAR=FIVEDAY&amp;VAR:SYMBOL=455710&amp;VAR:INDEX=0"}</definedName>
    <definedName name="_738__FDSAUDITLINK__" hidden="1">{"fdsup://directions/FAT Viewer?action=UPDATE&amp;creator=factset&amp;DYN_ARGS=TRUE&amp;DOC_NAME=FAT:FQL_AUDITING_CLIENT_TEMPLATE.FAT&amp;display_string=Audit&amp;VAR:KEY=PQNWBMZYPS&amp;VAR:QUERY=RkZfREVCVF9MVChRVFIsNDAxNTEsNDAxNTEp&amp;WINDOW=FIRST_POPUP&amp;HEIGHT=450&amp;WIDTH=450&amp;START_MA","XIMIZED=FALSE&amp;VAR:CALENDAR=FIVEDAY&amp;VAR:SYMBOL=455710&amp;VAR:INDEX=0"}</definedName>
    <definedName name="_739__FDSAUDITLINK__" hidden="1">{"fdsup://directions/FAT Viewer?action=UPDATE&amp;creator=factset&amp;DYN_ARGS=TRUE&amp;DOC_NAME=FAT:FQL_AUDITING_CLIENT_TEMPLATE.FAT&amp;display_string=Audit&amp;VAR:KEY=HGVERAHIPY&amp;VAR:QUERY=RkZfREVCVF9MVChRVFIsNDAxNDQsNDAxNDQp&amp;WINDOW=FIRST_POPUP&amp;HEIGHT=450&amp;WIDTH=450&amp;START_MA","XIMIZED=FALSE&amp;VAR:CALENDAR=FIVEDAY&amp;VAR:SYMBOL=455710&amp;VAR:INDEX=0"}</definedName>
    <definedName name="_74__FDSAUDITLINK__" hidden="1">{"fdsup://IBCentral/FAT Viewer?action=UPDATE&amp;creator=factset&amp;DOC_NAME=fat:reuters_annual_source_window.fat&amp;display_string=Audit&amp;DYN_ARGS=TRUE&amp;VAR:ID1=76775410&amp;VAR:RCODE=FCDP&amp;VAR:SDATE=20090299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40__FDSAUDITLINK__" hidden="1">{"fdsup://directions/FAT Viewer?action=UPDATE&amp;creator=factset&amp;DYN_ARGS=TRUE&amp;DOC_NAME=FAT:FQL_AUDITING_CLIENT_TEMPLATE.FAT&amp;display_string=Audit&amp;VAR:KEY=HCVGLGHERM&amp;VAR:QUERY=RkZfREVCVF9MVChRVFIsNDAxMzcsNDAxMzcp&amp;WINDOW=FIRST_POPUP&amp;HEIGHT=450&amp;WIDTH=450&amp;START_MA","XIMIZED=FALSE&amp;VAR:CALENDAR=FIVEDAY&amp;VAR:SYMBOL=455710&amp;VAR:INDEX=0"}</definedName>
    <definedName name="_741__FDSAUDITLINK__" hidden="1">{"fdsup://directions/FAT Viewer?action=UPDATE&amp;creator=factset&amp;DYN_ARGS=TRUE&amp;DOC_NAME=FAT:FQL_AUDITING_CLIENT_TEMPLATE.FAT&amp;display_string=Audit&amp;VAR:KEY=LMVAJCXIXW&amp;VAR:QUERY=RkZfREVCVF9MVChRVFIsNDAxMzAsNDAxMzAp&amp;WINDOW=FIRST_POPUP&amp;HEIGHT=450&amp;WIDTH=450&amp;START_MA","XIMIZED=FALSE&amp;VAR:CALENDAR=FIVEDAY&amp;VAR:SYMBOL=455710&amp;VAR:INDEX=0"}</definedName>
    <definedName name="_742__FDSAUDITLINK__" hidden="1">{"fdsup://directions/FAT Viewer?action=UPDATE&amp;creator=factset&amp;DYN_ARGS=TRUE&amp;DOC_NAME=FAT:FQL_AUDITING_CLIENT_TEMPLATE.FAT&amp;display_string=Audit&amp;VAR:KEY=PUVQJIJGFW&amp;VAR:QUERY=RkZfREVCVF9MVChRVFIsNDAxMjMsNDAxMjMp&amp;WINDOW=FIRST_POPUP&amp;HEIGHT=450&amp;WIDTH=450&amp;START_MA","XIMIZED=FALSE&amp;VAR:CALENDAR=FIVEDAY&amp;VAR:SYMBOL=455710&amp;VAR:INDEX=0"}</definedName>
    <definedName name="_743__FDSAUDITLINK__" hidden="1">{"fdsup://directions/FAT Viewer?action=UPDATE&amp;creator=factset&amp;DYN_ARGS=TRUE&amp;DOC_NAME=FAT:FQL_AUDITING_CLIENT_TEMPLATE.FAT&amp;display_string=Audit&amp;VAR:KEY=PCRIRUVERO&amp;VAR:QUERY=RkZfREVCVF9MVChRVFIsNDAxMTYsNDAxMTYp&amp;WINDOW=FIRST_POPUP&amp;HEIGHT=450&amp;WIDTH=450&amp;START_MA","XIMIZED=FALSE&amp;VAR:CALENDAR=FIVEDAY&amp;VAR:SYMBOL=455710&amp;VAR:INDEX=0"}</definedName>
    <definedName name="_744__FDSAUDITLINK__" hidden="1">{"fdsup://directions/FAT Viewer?action=UPDATE&amp;creator=factset&amp;DYN_ARGS=TRUE&amp;DOC_NAME=FAT:FQL_AUDITING_CLIENT_TEMPLATE.FAT&amp;display_string=Audit&amp;VAR:KEY=NOZWLEFUTE&amp;VAR:QUERY=RkZfREVCVF9MVChRVFIsNDAxMDksNDAxMDkp&amp;WINDOW=FIRST_POPUP&amp;HEIGHT=450&amp;WIDTH=450&amp;START_MA","XIMIZED=FALSE&amp;VAR:CALENDAR=FIVEDAY&amp;VAR:SYMBOL=455710&amp;VAR:INDEX=0"}</definedName>
    <definedName name="_745__FDSAUDITLINK__" hidden="1">{"fdsup://directions/FAT Viewer?action=UPDATE&amp;creator=factset&amp;DYN_ARGS=TRUE&amp;DOC_NAME=FAT:FQL_AUDITING_CLIENT_TEMPLATE.FAT&amp;display_string=Audit&amp;VAR:KEY=LQZKBQJCXW&amp;VAR:QUERY=RkZfREVCVF9MVChRVFIsNDAxMDIsNDAxMDIp&amp;WINDOW=FIRST_POPUP&amp;HEIGHT=450&amp;WIDTH=450&amp;START_MA","XIMIZED=FALSE&amp;VAR:CALENDAR=FIVEDAY&amp;VAR:SYMBOL=455710&amp;VAR:INDEX=0"}</definedName>
    <definedName name="_746__FDSAUDITLINK__" hidden="1">{"fdsup://directions/FAT Viewer?action=UPDATE&amp;creator=factset&amp;DYN_ARGS=TRUE&amp;DOC_NAME=FAT:FQL_AUDITING_CLIENT_TEMPLATE.FAT&amp;display_string=Audit&amp;VAR:KEY=KXQXIDQXWN&amp;VAR:QUERY=RkZfREVCVF9MVChRVFIsMzkwMjQsMzkwMjQp&amp;WINDOW=FIRST_POPUP&amp;HEIGHT=450&amp;WIDTH=450&amp;START_MA","XIMIZED=FALSE&amp;VAR:CALENDAR=FIVEDAY&amp;VAR:SYMBOL=576947&amp;VAR:INDEX=0"}</definedName>
    <definedName name="_747__FDSAUDITLINK__" hidden="1">{"fdsup://directions/FAT Viewer?action=UPDATE&amp;creator=factset&amp;DYN_ARGS=TRUE&amp;DOC_NAME=FAT:FQL_AUDITING_CLIENT_TEMPLATE.FAT&amp;display_string=Audit&amp;VAR:KEY=IBKJAHIPIL&amp;VAR:QUERY=RkZfREVCVF9MVChRVFIsNDAxMTYsNDAxMTYp&amp;WINDOW=FIRST_POPUP&amp;HEIGHT=450&amp;WIDTH=450&amp;START_MA","XIMIZED=FALSE&amp;VAR:CALENDAR=FIVEDAY&amp;VAR:SYMBOL=576947&amp;VAR:INDEX=0"}</definedName>
    <definedName name="_748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49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5__FDSAUDITLINK__" hidden="1">{"fdsup://IBCentral/FAT Viewer?action=UPDATE&amp;creator=factset&amp;DOC_NAME=fat:reuters_annual_source_window.fat&amp;display_string=Audit&amp;DYN_ARGS=TRUE&amp;VAR:ID1=76775410&amp;VAR:RCODE=FCDP&amp;VAR:SDATE=20080299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50__FDSAUDITLINK__" hidden="1">{"fdsup://directions/FAT Viewer?action=UPDATE&amp;creator=factset&amp;DYN_ARGS=TRUE&amp;DOC_NAME=FAT:FQL_AUDITING_CLIENT_TEMPLATE.FAT&amp;display_string=Audit&amp;VAR:KEY=YFYJGZADEB&amp;VAR:QUERY=RkZfREVCVF9MVChRVFIsNDAxMDksNDAxMDkp&amp;WINDOW=FIRST_POPUP&amp;HEIGHT=450&amp;WIDTH=450&amp;START_MA","XIMIZED=FALSE&amp;VAR:CALENDAR=FIVEDAY&amp;VAR:SYMBOL=576947&amp;VAR:INDEX=0"}</definedName>
    <definedName name="_751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52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53__FDSAUDITLINK__" hidden="1">{"fdsup://directions/FAT Viewer?action=UPDATE&amp;creator=factset&amp;DYN_ARGS=TRUE&amp;DOC_NAME=FAT:FQL_AUDITING_CLIENT_TEMPLATE.FAT&amp;display_string=Audit&amp;VAR:KEY=ENEFYHUNOX&amp;VAR:QUERY=RkZfREVCVF9MVChRVFIsNDAxMDIsNDAxMDIp&amp;WINDOW=FIRST_POPUP&amp;HEIGHT=450&amp;WIDTH=450&amp;START_MA","XIMIZED=FALSE&amp;VAR:CALENDAR=FIVEDAY&amp;VAR:SYMBOL=576947&amp;VAR:INDEX=0"}</definedName>
    <definedName name="_754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55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56__FDSAUDITLINK__" hidden="1">{"fdsup://directions/FAT Viewer?action=UPDATE&amp;creator=factset&amp;DYN_ARGS=TRUE&amp;DOC_NAME=FAT:FQL_AUDITING_CLIENT_TEMPLATE.FAT&amp;display_string=Audit&amp;VAR:KEY=YHMZSVGLSF&amp;VAR:QUERY=RkZfREVCVF9MVChRVFIsNDAwOTUsNDAwOTUp&amp;WINDOW=FIRST_POPUP&amp;HEIGHT=450&amp;WIDTH=450&amp;START_MA","XIMIZED=FALSE&amp;VAR:CALENDAR=FIVEDAY&amp;VAR:SYMBOL=576947&amp;VAR:INDEX=0"}</definedName>
    <definedName name="_757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58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59__FDSAUDITLINK__" hidden="1">{"fdsup://directions/FAT Viewer?action=UPDATE&amp;creator=factset&amp;DYN_ARGS=TRUE&amp;DOC_NAME=FAT:FQL_AUDITING_CLIENT_TEMPLATE.FAT&amp;display_string=Audit&amp;VAR:KEY=SVENYNEZUP&amp;VAR:QUERY=RkZfREVCVF9MVChRVFIsNDAwODgsNDAwODgp&amp;WINDOW=FIRST_POPUP&amp;HEIGHT=450&amp;WIDTH=450&amp;START_MA","XIMIZED=FALSE&amp;VAR:CALENDAR=FIVEDAY&amp;VAR:SYMBOL=576947&amp;VAR:INDEX=0"}</definedName>
    <definedName name="_76__FDSAUDITLINK__" hidden="1">{"fdsup://IBCentral/FAT Viewer?action=UPDATE&amp;creator=factset&amp;DOC_NAME=fat:reuters_annual_source_window.fat&amp;display_string=Audit&amp;DYN_ARGS=TRUE&amp;VAR:ID1=76775410&amp;VAR:RCODE=FCDP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60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61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62__FDSAUDITLINK__" hidden="1">{"fdsup://directions/FAT Viewer?action=UPDATE&amp;creator=factset&amp;DYN_ARGS=TRUE&amp;DOC_NAME=FAT:FQL_AUDITING_CLIENT_TEMPLATE.FAT&amp;display_string=Audit&amp;VAR:KEY=ILAXGRGXYZ&amp;VAR:QUERY=RkZfREVCVF9MVChRVFIsNDAwODEsNDAwODEp&amp;WINDOW=FIRST_POPUP&amp;HEIGHT=450&amp;WIDTH=450&amp;START_MA","XIMIZED=FALSE&amp;VAR:CALENDAR=FIVEDAY&amp;VAR:SYMBOL=576947&amp;VAR:INDEX=0"}</definedName>
    <definedName name="_763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64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65__FDSAUDITLINK__" hidden="1">{"fdsup://directions/FAT Viewer?action=UPDATE&amp;creator=factset&amp;DYN_ARGS=TRUE&amp;DOC_NAME=FAT:FQL_AUDITING_CLIENT_TEMPLATE.FAT&amp;display_string=Audit&amp;VAR:KEY=GHYZAZGREX&amp;VAR:QUERY=RkZfREVCVF9MVChRVFIsNDAwNzQsNDAwNzQp&amp;WINDOW=FIRST_POPUP&amp;HEIGHT=450&amp;WIDTH=450&amp;START_MA","XIMIZED=FALSE&amp;VAR:CALENDAR=FIVEDAY&amp;VAR:SYMBOL=576947&amp;VAR:INDEX=0"}</definedName>
    <definedName name="_766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67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68__FDSAUDITLINK__" hidden="1">{"fdsup://directions/FAT Viewer?action=UPDATE&amp;creator=factset&amp;DYN_ARGS=TRUE&amp;DOC_NAME=FAT:FQL_AUDITING_CLIENT_TEMPLATE.FAT&amp;display_string=Audit&amp;VAR:KEY=OPELSVUXEX&amp;VAR:QUERY=RkZfREVCVF9MVChRVFIsNDAwNjcsNDAwNjcp&amp;WINDOW=FIRST_POPUP&amp;HEIGHT=450&amp;WIDTH=450&amp;START_MA","XIMIZED=FALSE&amp;VAR:CALENDAR=FIVEDAY&amp;VAR:SYMBOL=576947&amp;VAR:INDEX=0"}</definedName>
    <definedName name="_769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7__FDSAUDITLINK__" hidden="1">{"fdsup://IBCentral/FAT Viewer?action=UPDATE&amp;creator=factset&amp;DOC_NAME=fat:reuters_annual_source_window.fat&amp;display_string=Audit&amp;DYN_ARGS=TRUE&amp;VAR:ID1=76775410&amp;VAR:RCODE=FCDP&amp;VAR:SDATE=20060299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70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71__FDSAUDITLINK__" hidden="1">{"fdsup://directions/FAT Viewer?action=UPDATE&amp;creator=factset&amp;DYN_ARGS=TRUE&amp;DOC_NAME=FAT:FQL_AUDITING_CLIENT_TEMPLATE.FAT&amp;display_string=Audit&amp;VAR:KEY=SNCZGBYNGL&amp;VAR:QUERY=RkZfREVCVF9MVChRVFIsNDAwNjAsNDAwNjAp&amp;WINDOW=FIRST_POPUP&amp;HEIGHT=450&amp;WIDTH=450&amp;START_MA","XIMIZED=FALSE&amp;VAR:CALENDAR=FIVEDAY&amp;VAR:SYMBOL=576947&amp;VAR:INDEX=0"}</definedName>
    <definedName name="_772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73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74__FDSAUDITLINK__" hidden="1">{"fdsup://directions/FAT Viewer?action=UPDATE&amp;creator=factset&amp;DYN_ARGS=TRUE&amp;DOC_NAME=FAT:FQL_AUDITING_CLIENT_TEMPLATE.FAT&amp;display_string=Audit&amp;VAR:KEY=EFWJKXSZWP&amp;VAR:QUERY=RkZfREVCVF9MVChRVFIsNDAwNTMsNDAwNTMp&amp;WINDOW=FIRST_POPUP&amp;HEIGHT=450&amp;WIDTH=450&amp;START_MA","XIMIZED=FALSE&amp;VAR:CALENDAR=FIVEDAY&amp;VAR:SYMBOL=576947&amp;VAR:INDEX=0"}</definedName>
    <definedName name="_775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77__FDSAUDITLINK__" hidden="1">{"fdsup://directions/FAT Viewer?action=UPDATE&amp;creator=factset&amp;DYN_ARGS=TRUE&amp;DOC_NAME=FAT:FQL_AUDITING_CLIENT_TEMPLATE.FAT&amp;display_string=Audit&amp;VAR:KEY=IVKPGHIJUB&amp;VAR:QUERY=RkZfREVCVF9MVChRVFIsNDAwNDYsNDAwNDYp&amp;WINDOW=FIRST_POPUP&amp;HEIGHT=450&amp;WIDTH=450&amp;START_MA","XIMIZED=FALSE&amp;VAR:CALENDAR=FIVEDAY&amp;VAR:SYMBOL=576947&amp;VAR:INDEX=0"}</definedName>
    <definedName name="_778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8__FDSAUDITLINK__" hidden="1">{"fdsup://IBCentral/FAT Viewer?action=UPDATE&amp;creator=factset&amp;DOC_NAME=fat:reuters_annual_source_window.fat&amp;display_string=Audit&amp;DYN_ARGS=TRUE&amp;VAR:ID1=76775410&amp;VAR:RCODE=FCDP&amp;VAR:SDATE=20050299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80__FDSAUDITLINK__" hidden="1">{"fdsup://directions/FAT Viewer?action=UPDATE&amp;creator=factset&amp;DYN_ARGS=TRUE&amp;DOC_NAME=FAT:FQL_AUDITING_CLIENT_TEMPLATE.FAT&amp;display_string=Audit&amp;VAR:KEY=YXYTYHQDEP&amp;VAR:QUERY=RkZfREVCVF9MVChRVFIsNDAwMzksNDAwMzkp&amp;WINDOW=FIRST_POPUP&amp;HEIGHT=450&amp;WIDTH=450&amp;START_MA","XIMIZED=FALSE&amp;VAR:CALENDAR=FIVEDAY&amp;VAR:SYMBOL=576947&amp;VAR:INDEX=0"}</definedName>
    <definedName name="_781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82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83__FDSAUDITLINK__" hidden="1">{"fdsup://directions/FAT Viewer?action=UPDATE&amp;creator=factset&amp;DYN_ARGS=TRUE&amp;DOC_NAME=FAT:FQL_AUDITING_CLIENT_TEMPLATE.FAT&amp;display_string=Audit&amp;VAR:KEY=UNMRULGLMJ&amp;VAR:QUERY=RkZfREVCVF9MVChRVFIsNDAwMzIsNDAwMzIp&amp;WINDOW=FIRST_POPUP&amp;HEIGHT=450&amp;WIDTH=450&amp;START_MA","XIMIZED=FALSE&amp;VAR:CALENDAR=FIVEDAY&amp;VAR:SYMBOL=576947&amp;VAR:INDEX=0"}</definedName>
    <definedName name="_784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86__FDSAUDITLINK__" hidden="1">{"fdsup://directions/FAT Viewer?action=UPDATE&amp;creator=factset&amp;DYN_ARGS=TRUE&amp;DOC_NAME=FAT:FQL_AUDITING_CLIENT_TEMPLATE.FAT&amp;display_string=Audit&amp;VAR:KEY=KTSHGPEBAB&amp;VAR:QUERY=RkZfREVCVF9MVChRVFIsNDAwMjUsNDAwMjUp&amp;WINDOW=FIRST_POPUP&amp;HEIGHT=450&amp;WIDTH=450&amp;START_MA","XIMIZED=FALSE&amp;VAR:CALENDAR=FIVEDAY&amp;VAR:SYMBOL=576947&amp;VAR:INDEX=0"}</definedName>
    <definedName name="_787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88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89__FDSAUDITLINK__" hidden="1">{"fdsup://directions/FAT Viewer?action=UPDATE&amp;creator=factset&amp;DYN_ARGS=TRUE&amp;DOC_NAME=FAT:FQL_AUDITING_CLIENT_TEMPLATE.FAT&amp;display_string=Audit&amp;VAR:KEY=IFWNSVAFCV&amp;VAR:QUERY=RkZfREVCVF9MVChRVFIsNDAwMTgsNDAwMTgp&amp;WINDOW=FIRST_POPUP&amp;HEIGHT=450&amp;WIDTH=450&amp;START_MA","XIMIZED=FALSE&amp;VAR:CALENDAR=FIVEDAY&amp;VAR:SYMBOL=576947&amp;VAR:INDEX=0"}</definedName>
    <definedName name="_79__FDSAUDITLINK__" hidden="1">{"fdsup://IBCentral/FAT Viewer?action=UPDATE&amp;creator=factset&amp;DOC_NAME=fat:reuters_annual_source_window.fat&amp;display_string=Audit&amp;DYN_ARGS=TRUE&amp;VAR:ID1=76775410&amp;VAR:RCODE=FCDP&amp;VAR:SDATE=20040299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90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92__FDSAUDITLINK__" hidden="1">{"fdsup://directions/FAT Viewer?action=UPDATE&amp;creator=factset&amp;DYN_ARGS=TRUE&amp;DOC_NAME=FAT:FQL_AUDITING_CLIENT_TEMPLATE.FAT&amp;display_string=Audit&amp;VAR:KEY=ENQFMZSJEL&amp;VAR:QUERY=RkZfREVCVF9MVChRVFIsNDAwMTEsNDAwMTEp&amp;WINDOW=FIRST_POPUP&amp;HEIGHT=450&amp;WIDTH=450&amp;START_MA","XIMIZED=FALSE&amp;VAR:CALENDAR=FIVEDAY&amp;VAR:SYMBOL=576947&amp;VAR:INDEX=0"}</definedName>
    <definedName name="_793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95__FDSAUDITLINK__" hidden="1">{"fdsup://directions/FAT Viewer?action=UPDATE&amp;creator=factset&amp;DYN_ARGS=TRUE&amp;DOC_NAME=FAT:FQL_AUDITING_CLIENT_TEMPLATE.FAT&amp;display_string=Audit&amp;VAR:KEY=ANEFIDCLWF&amp;VAR:QUERY=RkZfREVCVF9MVChRVFIsNDAwMDQsNDAwMDQp&amp;WINDOW=FIRST_POPUP&amp;HEIGHT=450&amp;WIDTH=450&amp;START_MA","XIMIZED=FALSE&amp;VAR:CALENDAR=FIVEDAY&amp;VAR:SYMBOL=576947&amp;VAR:INDEX=0"}</definedName>
    <definedName name="_796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97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98__FDSAUDITLINK__" hidden="1">{"fdsup://directions/FAT Viewer?action=UPDATE&amp;creator=factset&amp;DYN_ARGS=TRUE&amp;DOC_NAME=FAT:FQL_AUDITING_CLIENT_TEMPLATE.FAT&amp;display_string=Audit&amp;VAR:KEY=OXSBAZYLGL&amp;VAR:QUERY=RkZfREVCVF9MVChRVFIsMzk5OTcsMzk5OTcp&amp;WINDOW=FIRST_POPUP&amp;HEIGHT=450&amp;WIDTH=450&amp;START_MA","XIMIZED=FALSE&amp;VAR:CALENDAR=FIVEDAY&amp;VAR:SYMBOL=576947&amp;VAR:INDEX=0"}</definedName>
    <definedName name="_799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8__FDSAUDITLINK__" hidden="1">{"fdsup://directions/FAT Viewer?action=UPDATE&amp;creator=factset&amp;DYN_ARGS=TRUE&amp;DOC_NAME=FAT:FQL_AUDITING_CLIENT_TEMPLATE.FAT&amp;display_string=Audit&amp;VAR:KEY=BGFEBAFOVW&amp;VAR:QUERY=RkZfRUJJVF9PUEVSKEFOTiwyMDExKQ==&amp;WINDOW=FIRST_POPUP&amp;HEIGHT=450&amp;WIDTH=450&amp;START_MAXIMI","ZED=FALSE&amp;VAR:CALENDAR=FIVEDAY&amp;VAR:SYMBOL=471991&amp;VAR:INDEX=0"}</definedName>
    <definedName name="_80__FDSAUDITLINK__" hidden="1">{"fdsup://IBCentral/FAT Viewer?action=UPDATE&amp;creator=factset&amp;DOC_NAME=fat:reuters_annual_source_window.fat&amp;display_string=Audit&amp;DYN_ARGS=TRUE&amp;VAR:ID1=76775410&amp;VAR:RCODE=FCDP&amp;VAR:SDATE=20030299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00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801__FDSAUDITLINK__" hidden="1">{"fdsup://directions/FAT Viewer?action=UPDATE&amp;creator=factset&amp;DYN_ARGS=TRUE&amp;DOC_NAME=FAT:FQL_AUDITING_CLIENT_TEMPLATE.FAT&amp;display_string=Audit&amp;VAR:KEY=CPUXKFENWP&amp;VAR:QUERY=RkZfREVCVF9MVChRVFIsMzk5OTAsMzk5OTAp&amp;WINDOW=FIRST_POPUP&amp;HEIGHT=450&amp;WIDTH=450&amp;START_MA","XIMIZED=FALSE&amp;VAR:CALENDAR=FIVEDAY&amp;VAR:SYMBOL=576947&amp;VAR:INDEX=0"}</definedName>
    <definedName name="_802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03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04__FDSAUDITLINK__" hidden="1">{"fdsup://directions/FAT Viewer?action=UPDATE&amp;creator=factset&amp;DYN_ARGS=TRUE&amp;DOC_NAME=FAT:FQL_AUDITING_CLIENT_TEMPLATE.FAT&amp;display_string=Audit&amp;VAR:KEY=QZCNUJWDSB&amp;VAR:QUERY=RkZfREVCVF9MVChRVFIsMzk5ODMsMzk5ODMp&amp;WINDOW=FIRST_POPUP&amp;HEIGHT=450&amp;WIDTH=450&amp;START_MA","XIMIZED=FALSE&amp;VAR:CALENDAR=FIVEDAY&amp;VAR:SYMBOL=576947&amp;VAR:INDEX=0"}</definedName>
    <definedName name="_805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06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07__FDSAUDITLINK__" hidden="1">{"fdsup://directions/FAT Viewer?action=UPDATE&amp;creator=factset&amp;DYN_ARGS=TRUE&amp;DOC_NAME=FAT:FQL_AUDITING_CLIENT_TEMPLATE.FAT&amp;display_string=Audit&amp;VAR:KEY=UVKNYPIFWN&amp;VAR:QUERY=RkZfREVCVF9MVChRVFIsMzk5NzYsMzk5NzYp&amp;WINDOW=FIRST_POPUP&amp;HEIGHT=450&amp;WIDTH=450&amp;START_MA","XIMIZED=FALSE&amp;VAR:CALENDAR=FIVEDAY&amp;VAR:SYMBOL=576947&amp;VAR:INDEX=0"}</definedName>
    <definedName name="_808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09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1__FDSAUDITLINK__" hidden="1">{"fdsup://IBCentral/FAT Viewer?action=UPDATE&amp;creator=factset&amp;DOC_NAME=fat:reuters_annual_source_window.fat&amp;display_string=Audit&amp;DYN_ARGS=TRUE&amp;VAR:ID1=76775410&amp;VAR:RCODE=FCDP&amp;VAR:SDATE=20020299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0__FDSAUDITLINK__" hidden="1">{"fdsup://directions/FAT Viewer?action=UPDATE&amp;creator=factset&amp;DYN_ARGS=TRUE&amp;DOC_NAME=FAT:FQL_AUDITING_CLIENT_TEMPLATE.FAT&amp;display_string=Audit&amp;VAR:KEY=QDOXUJIFGN&amp;VAR:QUERY=RkZfREVCVF9MVChRVFIsMzk5NjksMzk5Njkp&amp;WINDOW=FIRST_POPUP&amp;HEIGHT=450&amp;WIDTH=450&amp;START_MA","XIMIZED=FALSE&amp;VAR:CALENDAR=FIVEDAY&amp;VAR:SYMBOL=576947&amp;VAR:INDEX=0"}</definedName>
    <definedName name="_811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12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13__FDSAUDITLINK__" hidden="1">{"fdsup://directions/FAT Viewer?action=UPDATE&amp;creator=factset&amp;DYN_ARGS=TRUE&amp;DOC_NAME=FAT:FQL_AUDITING_CLIENT_TEMPLATE.FAT&amp;display_string=Audit&amp;VAR:KEY=OHMVQTIBMT&amp;VAR:QUERY=RkZfREVCVF9MVChRVFIsMzk5NjIsMzk5NjIp&amp;WINDOW=FIRST_POPUP&amp;HEIGHT=450&amp;WIDTH=450&amp;START_MA","XIMIZED=FALSE&amp;VAR:CALENDAR=FIVEDAY&amp;VAR:SYMBOL=576947&amp;VAR:INDEX=0"}</definedName>
    <definedName name="_814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15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16__FDSAUDITLINK__" hidden="1">{"fdsup://directions/FAT Viewer?action=UPDATE&amp;creator=factset&amp;DYN_ARGS=TRUE&amp;DOC_NAME=FAT:FQL_AUDITING_CLIENT_TEMPLATE.FAT&amp;display_string=Audit&amp;VAR:KEY=AXIPOHAFKN&amp;VAR:QUERY=RkZfREVCVF9MVChRVFIsMzk5NTUsMzk5NTUp&amp;WINDOW=FIRST_POPUP&amp;HEIGHT=450&amp;WIDTH=450&amp;START_MA","XIMIZED=FALSE&amp;VAR:CALENDAR=FIVEDAY&amp;VAR:SYMBOL=576947&amp;VAR:INDEX=0"}</definedName>
    <definedName name="_817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18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19__FDSAUDITLINK__" hidden="1">{"fdsup://directions/FAT Viewer?action=UPDATE&amp;creator=factset&amp;DYN_ARGS=TRUE&amp;DOC_NAME=FAT:FQL_AUDITING_CLIENT_TEMPLATE.FAT&amp;display_string=Audit&amp;VAR:KEY=AZSBSNMLKV&amp;VAR:QUERY=RkZfREVCVF9MVChRVFIsMzk5NDgsMzk5NDgp&amp;WINDOW=FIRST_POPUP&amp;HEIGHT=450&amp;WIDTH=450&amp;START_MA","XIMIZED=FALSE&amp;VAR:CALENDAR=FIVEDAY&amp;VAR:SYMBOL=576947&amp;VAR:INDEX=0"}</definedName>
    <definedName name="_82__FDSAUDITLINK__" hidden="1">{"fdsup://IBCentral/FAT Viewer?action=UPDATE&amp;creator=factset&amp;DOC_NAME=fat:reuters_annual_source_window.fat&amp;display_string=Audit&amp;DYN_ARGS=TRUE&amp;VAR:ID1=76775410&amp;VAR:RCODE=FCDP&amp;VAR:SDATE=20010299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20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21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22__FDSAUDITLINK__" hidden="1">{"fdsup://directions/FAT Viewer?action=UPDATE&amp;creator=factset&amp;DYN_ARGS=TRUE&amp;DOC_NAME=FAT:FQL_AUDITING_CLIENT_TEMPLATE.FAT&amp;display_string=Audit&amp;VAR:KEY=CPWZAZCRAR&amp;VAR:QUERY=RkZfREVCVF9MVChRVFIsMzk5NDEsMzk5NDEp&amp;WINDOW=FIRST_POPUP&amp;HEIGHT=450&amp;WIDTH=450&amp;START_MA","XIMIZED=FALSE&amp;VAR:CALENDAR=FIVEDAY&amp;VAR:SYMBOL=576947&amp;VAR:INDEX=0"}</definedName>
    <definedName name="_823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24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25__FDSAUDITLINK__" hidden="1">{"fdsup://directions/FAT Viewer?action=UPDATE&amp;creator=factset&amp;DYN_ARGS=TRUE&amp;DOC_NAME=FAT:FQL_AUDITING_CLIENT_TEMPLATE.FAT&amp;display_string=Audit&amp;VAR:KEY=IBEHKBMPCR&amp;VAR:QUERY=RkZfREVCVF9MVChRVFIsMzk5MzQsMzk5MzQp&amp;WINDOW=FIRST_POPUP&amp;HEIGHT=450&amp;WIDTH=450&amp;START_MA","XIMIZED=FALSE&amp;VAR:CALENDAR=FIVEDAY&amp;VAR:SYMBOL=576947&amp;VAR:INDEX=0"}</definedName>
    <definedName name="_826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27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28__FDSAUDITLINK__" hidden="1">{"fdsup://directions/FAT Viewer?action=UPDATE&amp;creator=factset&amp;DYN_ARGS=TRUE&amp;DOC_NAME=FAT:FQL_AUDITING_CLIENT_TEMPLATE.FAT&amp;display_string=Audit&amp;VAR:KEY=EJALOJKTGP&amp;VAR:QUERY=RkZfREVCVF9MVChRVFIsMzk5MjcsMzk5Mjcp&amp;WINDOW=FIRST_POPUP&amp;HEIGHT=450&amp;WIDTH=450&amp;START_MA","XIMIZED=FALSE&amp;VAR:CALENDAR=FIVEDAY&amp;VAR:SYMBOL=576947&amp;VAR:INDEX=0"}</definedName>
    <definedName name="_829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3__FDSAUDITLINK__" hidden="1">{"fdsup://IBCentral/FAT Viewer?action=UPDATE&amp;creator=factset&amp;DOC_NAME=fat:reuters_annual_source_window.fat&amp;display_string=Audit&amp;DYN_ARGS=TRUE&amp;VAR:ID1=76775410&amp;VAR:RCODE=FCDP&amp;VAR:SDATE=20000299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30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31__FDSAUDITLINK__" hidden="1">{"fdsup://directions/FAT Viewer?action=UPDATE&amp;creator=factset&amp;DYN_ARGS=TRUE&amp;DOC_NAME=FAT:FQL_AUDITING_CLIENT_TEMPLATE.FAT&amp;display_string=Audit&amp;VAR:KEY=OTOFKTKZCD&amp;VAR:QUERY=RkZfREVCVF9MVChRVFIsMzk5MjAsMzk5MjAp&amp;WINDOW=FIRST_POPUP&amp;HEIGHT=450&amp;WIDTH=450&amp;START_MA","XIMIZED=FALSE&amp;VAR:CALENDAR=FIVEDAY&amp;VAR:SYMBOL=576947&amp;VAR:INDEX=0"}</definedName>
    <definedName name="_832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33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34__FDSAUDITLINK__" hidden="1">{"fdsup://directions/FAT Viewer?action=UPDATE&amp;creator=factset&amp;DYN_ARGS=TRUE&amp;DOC_NAME=FAT:FQL_AUDITING_CLIENT_TEMPLATE.FAT&amp;display_string=Audit&amp;VAR:KEY=YRONMDGJQD&amp;VAR:QUERY=RkZfREVCVF9MVChRVFIsMzk5MTMsMzk5MTMp&amp;WINDOW=FIRST_POPUP&amp;HEIGHT=450&amp;WIDTH=450&amp;START_MA","XIMIZED=FALSE&amp;VAR:CALENDAR=FIVEDAY&amp;VAR:SYMBOL=576947&amp;VAR:INDEX=0"}</definedName>
    <definedName name="_835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36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37__FDSAUDITLINK__" hidden="1">{"fdsup://directions/FAT Viewer?action=UPDATE&amp;creator=factset&amp;DYN_ARGS=TRUE&amp;DOC_NAME=FAT:FQL_AUDITING_CLIENT_TEMPLATE.FAT&amp;display_string=Audit&amp;VAR:KEY=UZIBUBSBQR&amp;VAR:QUERY=RkZfREVCVF9MVChRVFIsMzk5MDYsMzk5MDYp&amp;WINDOW=FIRST_POPUP&amp;HEIGHT=450&amp;WIDTH=450&amp;START_MA","XIMIZED=FALSE&amp;VAR:CALENDAR=FIVEDAY&amp;VAR:SYMBOL=576947&amp;VAR:INDEX=0"}</definedName>
    <definedName name="_838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39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4__FDSAUDITLINK__" hidden="1">{"fdsup://IBCentral/FAT Viewer?action=UPDATE&amp;creator=factset&amp;DOC_NAME=fat:reuters_annual_source_window.fat&amp;display_string=Audit&amp;DYN_ARGS=TRUE&amp;VAR:ID1=76775410&amp;VAR:RCODE=FCDP&amp;VAR:SDATE=19990299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0__FDSAUDITLINK__" hidden="1">{"fdsup://directions/FAT Viewer?action=UPDATE&amp;creator=factset&amp;DYN_ARGS=TRUE&amp;DOC_NAME=FAT:FQL_AUDITING_CLIENT_TEMPLATE.FAT&amp;display_string=Audit&amp;VAR:KEY=IXQTQBCZOF&amp;VAR:QUERY=RkZfREVCVF9MVChRVFIsMzk4OTksMzk4OTkp&amp;WINDOW=FIRST_POPUP&amp;HEIGHT=450&amp;WIDTH=450&amp;START_MA","XIMIZED=FALSE&amp;VAR:CALENDAR=FIVEDAY&amp;VAR:SYMBOL=576947&amp;VAR:INDEX=0"}</definedName>
    <definedName name="_841__FDSAUDITLINK__" hidden="1">{"fdsup://directions/FAT Viewer?action=UPDATE&amp;creator=factset&amp;DYN_ARGS=TRUE&amp;DOC_NAME=FAT:FQL_AUDITING_CLIENT_TEMPLATE.FAT&amp;display_string=Audit&amp;VAR:KEY=ONAFODYFGL&amp;VAR:QUERY=RkZfREVCVF9MVChRVFIsMzk4OTIsMzk4OTIp&amp;WINDOW=FIRST_POPUP&amp;HEIGHT=450&amp;WIDTH=450&amp;START_MA","XIMIZED=FALSE&amp;VAR:CALENDAR=FIVEDAY&amp;VAR:SYMBOL=576947&amp;VAR:INDEX=0"}</definedName>
    <definedName name="_842__FDSAUDITLINK__" hidden="1">{"fdsup://directions/FAT Viewer?action=UPDATE&amp;creator=factset&amp;DYN_ARGS=TRUE&amp;DOC_NAME=FAT:FQL_AUDITING_CLIENT_TEMPLATE.FAT&amp;display_string=Audit&amp;VAR:KEY=EPWRCPSHMB&amp;VAR:QUERY=RkZfREVCVF9MVChRVFIsMzk4ODUsMzk4ODUp&amp;WINDOW=FIRST_POPUP&amp;HEIGHT=450&amp;WIDTH=450&amp;START_MA","XIMIZED=FALSE&amp;VAR:CALENDAR=FIVEDAY&amp;VAR:SYMBOL=576947&amp;VAR:INDEX=0"}</definedName>
    <definedName name="_843__FDSAUDITLINK__" hidden="1">{"fdsup://directions/FAT Viewer?action=UPDATE&amp;creator=factset&amp;DYN_ARGS=TRUE&amp;DOC_NAME=FAT:FQL_AUDITING_CLIENT_TEMPLATE.FAT&amp;display_string=Audit&amp;VAR:KEY=KDKTQLIHIL&amp;VAR:QUERY=RkZfREVCVF9MVChRVFIsMzk4NzgsMzk4Nzgp&amp;WINDOW=FIRST_POPUP&amp;HEIGHT=450&amp;WIDTH=450&amp;START_MA","XIMIZED=FALSE&amp;VAR:CALENDAR=FIVEDAY&amp;VAR:SYMBOL=576947&amp;VAR:INDEX=0"}</definedName>
    <definedName name="_844__FDSAUDITLINK__" hidden="1">{"fdsup://directions/FAT Viewer?action=UPDATE&amp;creator=factset&amp;DYN_ARGS=TRUE&amp;DOC_NAME=FAT:FQL_AUDITING_CLIENT_TEMPLATE.FAT&amp;display_string=Audit&amp;VAR:KEY=CBMPELOHWN&amp;VAR:QUERY=RkZfREVCVF9MVChRVFIsMzk4NzEsMzk4NzEp&amp;WINDOW=FIRST_POPUP&amp;HEIGHT=450&amp;WIDTH=450&amp;START_MA","XIMIZED=FALSE&amp;VAR:CALENDAR=FIVEDAY&amp;VAR:SYMBOL=576947&amp;VAR:INDEX=0"}</definedName>
    <definedName name="_845__FDSAUDITLINK__" hidden="1">{"fdsup://directions/FAT Viewer?action=UPDATE&amp;creator=factset&amp;DYN_ARGS=TRUE&amp;DOC_NAME=FAT:FQL_AUDITING_CLIENT_TEMPLATE.FAT&amp;display_string=Audit&amp;VAR:KEY=MJYJMFWHUH&amp;VAR:QUERY=RkZfREVCVF9MVChRVFIsMzk4NjQsMzk4NjQp&amp;WINDOW=FIRST_POPUP&amp;HEIGHT=450&amp;WIDTH=450&amp;START_MA","XIMIZED=FALSE&amp;VAR:CALENDAR=FIVEDAY&amp;VAR:SYMBOL=576947&amp;VAR:INDEX=0"}</definedName>
    <definedName name="_846__FDSAUDITLINK__" hidden="1">{"fdsup://directions/FAT Viewer?action=UPDATE&amp;creator=factset&amp;DYN_ARGS=TRUE&amp;DOC_NAME=FAT:FQL_AUDITING_CLIENT_TEMPLATE.FAT&amp;display_string=Audit&amp;VAR:KEY=GHMTIVUTML&amp;VAR:QUERY=RkZfREVCVF9MVChRVFIsMzk4NTcsMzk4NTcp&amp;WINDOW=FIRST_POPUP&amp;HEIGHT=450&amp;WIDTH=450&amp;START_MA","XIMIZED=FALSE&amp;VAR:CALENDAR=FIVEDAY&amp;VAR:SYMBOL=576947&amp;VAR:INDEX=0"}</definedName>
    <definedName name="_847__FDSAUDITLINK__" hidden="1">{"fdsup://directions/FAT Viewer?action=UPDATE&amp;creator=factset&amp;DYN_ARGS=TRUE&amp;DOC_NAME=FAT:FQL_AUDITING_CLIENT_TEMPLATE.FAT&amp;display_string=Audit&amp;VAR:KEY=OPWFATKFAF&amp;VAR:QUERY=RkZfREVCVF9MVChRVFIsMzk4NTAsMzk4NTAp&amp;WINDOW=FIRST_POPUP&amp;HEIGHT=450&amp;WIDTH=450&amp;START_MA","XIMIZED=FALSE&amp;VAR:CALENDAR=FIVEDAY&amp;VAR:SYMBOL=576947&amp;VAR:INDEX=0"}</definedName>
    <definedName name="_848__FDSAUDITLINK__" hidden="1">{"fdsup://directions/FAT Viewer?action=UPDATE&amp;creator=factset&amp;DYN_ARGS=TRUE&amp;DOC_NAME=FAT:FQL_AUDITING_CLIENT_TEMPLATE.FAT&amp;display_string=Audit&amp;VAR:KEY=GJSTGJYHMF&amp;VAR:QUERY=RkZfREVCVF9MVChRVFIsMzk4NDMsMzk4NDMp&amp;WINDOW=FIRST_POPUP&amp;HEIGHT=450&amp;WIDTH=450&amp;START_MA","XIMIZED=FALSE&amp;VAR:CALENDAR=FIVEDAY&amp;VAR:SYMBOL=576947&amp;VAR:INDEX=0"}</definedName>
    <definedName name="_849__FDSAUDITLINK__" hidden="1">{"fdsup://directions/FAT Viewer?action=UPDATE&amp;creator=factset&amp;DYN_ARGS=TRUE&amp;DOC_NAME=FAT:FQL_AUDITING_CLIENT_TEMPLATE.FAT&amp;display_string=Audit&amp;VAR:KEY=YTOZYXSBGX&amp;VAR:QUERY=RkZfREVCVF9MVChRVFIsMzk4MzYsMzk4MzYp&amp;WINDOW=FIRST_POPUP&amp;HEIGHT=450&amp;WIDTH=450&amp;START_MA","XIMIZED=FALSE&amp;VAR:CALENDAR=FIVEDAY&amp;VAR:SYMBOL=576947&amp;VAR:INDEX=0"}</definedName>
    <definedName name="_85__FDSAUDITLINK__" hidden="1">{"fdsup://IBCentral/FAT Viewer?action=UPDATE&amp;creator=factset&amp;DOC_NAME=fat:reuters_annual_shs_src_window.fat&amp;display_string=Audit&amp;DYN_ARGS=TRUE&amp;VAR:ID1=93142210&amp;VAR:RCODE=FDSSHSOUTDEPS&amp;VAR:SDATE=20080899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50__FDSAUDITLINK__" hidden="1">{"fdsup://directions/FAT Viewer?action=UPDATE&amp;creator=factset&amp;DYN_ARGS=TRUE&amp;DOC_NAME=FAT:FQL_AUDITING_CLIENT_TEMPLATE.FAT&amp;display_string=Audit&amp;VAR:KEY=KFGXIFIBWV&amp;VAR:QUERY=RkZfREVCVF9MVChRVFIsMzk4MjksMzk4Mjkp&amp;WINDOW=FIRST_POPUP&amp;HEIGHT=450&amp;WIDTH=450&amp;START_MA","XIMIZED=FALSE&amp;VAR:CALENDAR=FIVEDAY&amp;VAR:SYMBOL=576947&amp;VAR:INDEX=0"}</definedName>
    <definedName name="_851__FDSAUDITLINK__" hidden="1">{"fdsup://directions/FAT Viewer?action=UPDATE&amp;creator=factset&amp;DYN_ARGS=TRUE&amp;DOC_NAME=FAT:FQL_AUDITING_CLIENT_TEMPLATE.FAT&amp;display_string=Audit&amp;VAR:KEY=SZWNSHYRKL&amp;VAR:QUERY=RkZfREVCVF9MVChRVFIsMzk4MjIsMzk4MjIp&amp;WINDOW=FIRST_POPUP&amp;HEIGHT=450&amp;WIDTH=450&amp;START_MA","XIMIZED=FALSE&amp;VAR:CALENDAR=FIVEDAY&amp;VAR:SYMBOL=576947&amp;VAR:INDEX=0"}</definedName>
    <definedName name="_852__FDSAUDITLINK__" hidden="1">{"fdsup://directions/FAT Viewer?action=UPDATE&amp;creator=factset&amp;DYN_ARGS=TRUE&amp;DOC_NAME=FAT:FQL_AUDITING_CLIENT_TEMPLATE.FAT&amp;display_string=Audit&amp;VAR:KEY=SNMTQFQVMX&amp;VAR:QUERY=RkZfREVCVF9MVChRVFIsMzk4MTUsMzk4MTUp&amp;WINDOW=FIRST_POPUP&amp;HEIGHT=450&amp;WIDTH=450&amp;START_MA","XIMIZED=FALSE&amp;VAR:CALENDAR=FIVEDAY&amp;VAR:SYMBOL=576947&amp;VAR:INDEX=0"}</definedName>
    <definedName name="_853__FDSAUDITLINK__" hidden="1">{"fdsup://directions/FAT Viewer?action=UPDATE&amp;creator=factset&amp;DYN_ARGS=TRUE&amp;DOC_NAME=FAT:FQL_AUDITING_CLIENT_TEMPLATE.FAT&amp;display_string=Audit&amp;VAR:KEY=UNIVMZGHKN&amp;VAR:QUERY=RkZfREVCVF9MVChRVFIsMzk4MDgsMzk4MDgp&amp;WINDOW=FIRST_POPUP&amp;HEIGHT=450&amp;WIDTH=450&amp;START_MA","XIMIZED=FALSE&amp;VAR:CALENDAR=FIVEDAY&amp;VAR:SYMBOL=576947&amp;VAR:INDEX=0"}</definedName>
    <definedName name="_854__FDSAUDITLINK__" hidden="1">{"fdsup://directions/FAT Viewer?action=UPDATE&amp;creator=factset&amp;DYN_ARGS=TRUE&amp;DOC_NAME=FAT:FQL_AUDITING_CLIENT_TEMPLATE.FAT&amp;display_string=Audit&amp;VAR:KEY=WHGFAREJIX&amp;VAR:QUERY=RkZfREVCVF9MVChRVFIsMzk4MDEsMzk4MDEp&amp;WINDOW=FIRST_POPUP&amp;HEIGHT=450&amp;WIDTH=450&amp;START_MA","XIMIZED=FALSE&amp;VAR:CALENDAR=FIVEDAY&amp;VAR:SYMBOL=576947&amp;VAR:INDEX=0"}</definedName>
    <definedName name="_855__FDSAUDITLINK__" hidden="1">{"fdsup://directions/FAT Viewer?action=UPDATE&amp;creator=factset&amp;DYN_ARGS=TRUE&amp;DOC_NAME=FAT:FQL_AUDITING_CLIENT_TEMPLATE.FAT&amp;display_string=Audit&amp;VAR:KEY=YVCVYPYPEZ&amp;VAR:QUERY=RkZfREVCVF9MVChRVFIsMzk3OTQsMzk3OTQp&amp;WINDOW=FIRST_POPUP&amp;HEIGHT=450&amp;WIDTH=450&amp;START_MA","XIMIZED=FALSE&amp;VAR:CALENDAR=FIVEDAY&amp;VAR:SYMBOL=576947&amp;VAR:INDEX=0"}</definedName>
    <definedName name="_856__FDSAUDITLINK__" hidden="1">{"fdsup://directions/FAT Viewer?action=UPDATE&amp;creator=factset&amp;DYN_ARGS=TRUE&amp;DOC_NAME=FAT:FQL_AUDITING_CLIENT_TEMPLATE.FAT&amp;display_string=Audit&amp;VAR:KEY=YLYRMHAXWV&amp;VAR:QUERY=RkZfREVCVF9MVChRVFIsMzk3ODcsMzk3ODcp&amp;WINDOW=FIRST_POPUP&amp;HEIGHT=450&amp;WIDTH=450&amp;START_MA","XIMIZED=FALSE&amp;VAR:CALENDAR=FIVEDAY&amp;VAR:SYMBOL=576947&amp;VAR:INDEX=0"}</definedName>
    <definedName name="_857__FDSAUDITLINK__" hidden="1">{"fdsup://directions/FAT Viewer?action=UPDATE&amp;creator=factset&amp;DYN_ARGS=TRUE&amp;DOC_NAME=FAT:FQL_AUDITING_CLIENT_TEMPLATE.FAT&amp;display_string=Audit&amp;VAR:KEY=OPKBKJCJWJ&amp;VAR:QUERY=RkZfREVCVF9MVChRVFIsMzk3ODAsMzk3ODAp&amp;WINDOW=FIRST_POPUP&amp;HEIGHT=450&amp;WIDTH=450&amp;START_MA","XIMIZED=FALSE&amp;VAR:CALENDAR=FIVEDAY&amp;VAR:SYMBOL=576947&amp;VAR:INDEX=0"}</definedName>
    <definedName name="_858__FDSAUDITLINK__" hidden="1">{"fdsup://directions/FAT Viewer?action=UPDATE&amp;creator=factset&amp;DYN_ARGS=TRUE&amp;DOC_NAME=FAT:FQL_AUDITING_CLIENT_TEMPLATE.FAT&amp;display_string=Audit&amp;VAR:KEY=UHGLGTEZUB&amp;VAR:QUERY=RkZfREVCVF9MVChRVFIsMzk3NzMsMzk3NzMp&amp;WINDOW=FIRST_POPUP&amp;HEIGHT=450&amp;WIDTH=450&amp;START_MA","XIMIZED=FALSE&amp;VAR:CALENDAR=FIVEDAY&amp;VAR:SYMBOL=576947&amp;VAR:INDEX=0"}</definedName>
    <definedName name="_859__FDSAUDITLINK__" hidden="1">{"fdsup://directions/FAT Viewer?action=UPDATE&amp;creator=factset&amp;DYN_ARGS=TRUE&amp;DOC_NAME=FAT:FQL_AUDITING_CLIENT_TEMPLATE.FAT&amp;display_string=Audit&amp;VAR:KEY=WBUJCBEDIR&amp;VAR:QUERY=RkZfREVCVF9MVChRVFIsMzk3NjYsMzk3NjYp&amp;WINDOW=FIRST_POPUP&amp;HEIGHT=450&amp;WIDTH=450&amp;START_MA","XIMIZED=FALSE&amp;VAR:CALENDAR=FIVEDAY&amp;VAR:SYMBOL=576947&amp;VAR:INDEX=0"}</definedName>
    <definedName name="_86__FDSAUDITLINK__" hidden="1">{"fdsup://IBCentral/FAT Viewer?action=UPDATE&amp;creator=factset&amp;DOC_NAME=fat:reuters_annual_shs_src_window.fat&amp;display_string=Audit&amp;DYN_ARGS=TRUE&amp;VAR:ID1=93142210&amp;VAR:RCODE=FDSSHSOUTDEPS&amp;VAR:SDATE=20070899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60__FDSAUDITLINK__" hidden="1">{"fdsup://directions/FAT Viewer?action=UPDATE&amp;creator=factset&amp;DYN_ARGS=TRUE&amp;DOC_NAME=FAT:FQL_AUDITING_CLIENT_TEMPLATE.FAT&amp;display_string=Audit&amp;VAR:KEY=KZMJKRUHAT&amp;VAR:QUERY=RkZfREVCVF9MVChRVFIsMzk3NTksMzk3NTkp&amp;WINDOW=FIRST_POPUP&amp;HEIGHT=450&amp;WIDTH=450&amp;START_MA","XIMIZED=FALSE&amp;VAR:CALENDAR=FIVEDAY&amp;VAR:SYMBOL=576947&amp;VAR:INDEX=0"}</definedName>
    <definedName name="_861__FDSAUDITLINK__" hidden="1">{"fdsup://directions/FAT Viewer?action=UPDATE&amp;creator=factset&amp;DYN_ARGS=TRUE&amp;DOC_NAME=FAT:FQL_AUDITING_CLIENT_TEMPLATE.FAT&amp;display_string=Audit&amp;VAR:KEY=GHITYJCTOJ&amp;VAR:QUERY=RkZfREVCVF9MVChRVFIsMzk3NTIsMzk3NTIp&amp;WINDOW=FIRST_POPUP&amp;HEIGHT=450&amp;WIDTH=450&amp;START_MA","XIMIZED=FALSE&amp;VAR:CALENDAR=FIVEDAY&amp;VAR:SYMBOL=576947&amp;VAR:INDEX=0"}</definedName>
    <definedName name="_862__FDSAUDITLINK__" hidden="1">{"fdsup://directions/FAT Viewer?action=UPDATE&amp;creator=factset&amp;DYN_ARGS=TRUE&amp;DOC_NAME=FAT:FQL_AUDITING_CLIENT_TEMPLATE.FAT&amp;display_string=Audit&amp;VAR:KEY=GRGZKHCBQR&amp;VAR:QUERY=RkZfREVCVF9MVChRVFIsMzk3NDUsMzk3NDUp&amp;WINDOW=FIRST_POPUP&amp;HEIGHT=450&amp;WIDTH=450&amp;START_MA","XIMIZED=FALSE&amp;VAR:CALENDAR=FIVEDAY&amp;VAR:SYMBOL=576947&amp;VAR:INDEX=0"}</definedName>
    <definedName name="_863__FDSAUDITLINK__" hidden="1">{"fdsup://directions/FAT Viewer?action=UPDATE&amp;creator=factset&amp;DYN_ARGS=TRUE&amp;DOC_NAME=FAT:FQL_AUDITING_CLIENT_TEMPLATE.FAT&amp;display_string=Audit&amp;VAR:KEY=UBSBIPCHSZ&amp;VAR:QUERY=RkZfREVCVF9MVChRVFIsMzk3MzgsMzk3Mzgp&amp;WINDOW=FIRST_POPUP&amp;HEIGHT=450&amp;WIDTH=450&amp;START_MA","XIMIZED=FALSE&amp;VAR:CALENDAR=FIVEDAY&amp;VAR:SYMBOL=576947&amp;VAR:INDEX=0"}</definedName>
    <definedName name="_864__FDSAUDITLINK__" hidden="1">{"fdsup://directions/FAT Viewer?action=UPDATE&amp;creator=factset&amp;DYN_ARGS=TRUE&amp;DOC_NAME=FAT:FQL_AUDITING_CLIENT_TEMPLATE.FAT&amp;display_string=Audit&amp;VAR:KEY=INAFCJSHCZ&amp;VAR:QUERY=RkZfREVCVF9MVChRVFIsMzk3MzEsMzk3MzEp&amp;WINDOW=FIRST_POPUP&amp;HEIGHT=450&amp;WIDTH=450&amp;START_MA","XIMIZED=FALSE&amp;VAR:CALENDAR=FIVEDAY&amp;VAR:SYMBOL=576947&amp;VAR:INDEX=0"}</definedName>
    <definedName name="_865__FDSAUDITLINK__" hidden="1">{"fdsup://directions/FAT Viewer?action=UPDATE&amp;creator=factset&amp;DYN_ARGS=TRUE&amp;DOC_NAME=FAT:FQL_AUDITING_CLIENT_TEMPLATE.FAT&amp;display_string=Audit&amp;VAR:KEY=QZSZAXMBCH&amp;VAR:QUERY=RkZfREVCVF9MVChRVFIsMzk3MjQsMzk3MjQp&amp;WINDOW=FIRST_POPUP&amp;HEIGHT=450&amp;WIDTH=450&amp;START_MA","XIMIZED=FALSE&amp;VAR:CALENDAR=FIVEDAY&amp;VAR:SYMBOL=576947&amp;VAR:INDEX=0"}</definedName>
    <definedName name="_866__FDSAUDITLINK__" hidden="1">{"fdsup://directions/FAT Viewer?action=UPDATE&amp;creator=factset&amp;DYN_ARGS=TRUE&amp;DOC_NAME=FAT:FQL_AUDITING_CLIENT_TEMPLATE.FAT&amp;display_string=Audit&amp;VAR:KEY=CRYBMXITUP&amp;VAR:QUERY=RkZfREVCVF9MVChRVFIsMzk3MTcsMzk3MTcp&amp;WINDOW=FIRST_POPUP&amp;HEIGHT=450&amp;WIDTH=450&amp;START_MA","XIMIZED=FALSE&amp;VAR:CALENDAR=FIVEDAY&amp;VAR:SYMBOL=576947&amp;VAR:INDEX=0"}</definedName>
    <definedName name="_867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68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69__FDSAUDITLINK__" hidden="1">{"fdsup://directions/FAT Viewer?action=UPDATE&amp;creator=factset&amp;DYN_ARGS=TRUE&amp;DOC_NAME=FAT:FQL_AUDITING_CLIENT_TEMPLATE.FAT&amp;display_string=Audit&amp;VAR:KEY=MZWDMHWBWN&amp;VAR:QUERY=RkZfREVCVF9MVChRVFIsMzk3MTAsMzk3MTAp&amp;WINDOW=FIRST_POPUP&amp;HEIGHT=450&amp;WIDTH=450&amp;START_MA","XIMIZED=FALSE&amp;VAR:CALENDAR=FIVEDAY&amp;VAR:SYMBOL=576947&amp;VAR:INDEX=0"}</definedName>
    <definedName name="_87__FDSAUDITLINK__" hidden="1">{"fdsup://IBCentral/FAT Viewer?action=UPDATE&amp;creator=factset&amp;DOC_NAME=fat:reuters_annual_shs_src_window.fat&amp;display_string=Audit&amp;DYN_ARGS=TRUE&amp;VAR:ID1=93142210&amp;VAR:RCODE=FDSSHSOUTDEPS&amp;VAR:SDATE=20060899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70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71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72__FDSAUDITLINK__" hidden="1">{"fdsup://directions/FAT Viewer?action=UPDATE&amp;creator=factset&amp;DYN_ARGS=TRUE&amp;DOC_NAME=FAT:FQL_AUDITING_CLIENT_TEMPLATE.FAT&amp;display_string=Audit&amp;VAR:KEY=IZEDILQZYN&amp;VAR:QUERY=RkZfREVCVF9MVChRVFIsMzk3MDMsMzk3MDMp&amp;WINDOW=FIRST_POPUP&amp;HEIGHT=450&amp;WIDTH=450&amp;START_MA","XIMIZED=FALSE&amp;VAR:CALENDAR=FIVEDAY&amp;VAR:SYMBOL=576947&amp;VAR:INDEX=0"}</definedName>
    <definedName name="_873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74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75__FDSAUDITLINK__" hidden="1">{"fdsup://directions/FAT Viewer?action=UPDATE&amp;creator=factset&amp;DYN_ARGS=TRUE&amp;DOC_NAME=FAT:FQL_AUDITING_CLIENT_TEMPLATE.FAT&amp;display_string=Audit&amp;VAR:KEY=YDIHEFCZUD&amp;VAR:QUERY=RkZfREVCVF9MVChRVFIsMzk2OTYsMzk2OTYp&amp;WINDOW=FIRST_POPUP&amp;HEIGHT=450&amp;WIDTH=450&amp;START_MA","XIMIZED=FALSE&amp;VAR:CALENDAR=FIVEDAY&amp;VAR:SYMBOL=576947&amp;VAR:INDEX=0"}</definedName>
    <definedName name="_876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77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78__FDSAUDITLINK__" hidden="1">{"fdsup://directions/FAT Viewer?action=UPDATE&amp;creator=factset&amp;DYN_ARGS=TRUE&amp;DOC_NAME=FAT:FQL_AUDITING_CLIENT_TEMPLATE.FAT&amp;display_string=Audit&amp;VAR:KEY=SPAVOLAHWD&amp;VAR:QUERY=RkZfREVCVF9MVChRVFIsMzk2ODksMzk2ODkp&amp;WINDOW=FIRST_POPUP&amp;HEIGHT=450&amp;WIDTH=450&amp;START_MA","XIMIZED=FALSE&amp;VAR:CALENDAR=FIVEDAY&amp;VAR:SYMBOL=576947&amp;VAR:INDEX=0"}</definedName>
    <definedName name="_879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8__FDSAUDITLINK__" hidden="1">{"fdsup://IBCentral/FAT Viewer?action=UPDATE&amp;creator=factset&amp;DOC_NAME=fat:reuters_annual_shs_src_window.fat&amp;display_string=Audit&amp;DYN_ARGS=TRUE&amp;VAR:ID1=93142210&amp;VAR:RCODE=FDSSHSOUTDEPS&amp;VAR:SDATE=20050899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80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81__FDSAUDITLINK__" hidden="1">{"fdsup://directions/FAT Viewer?action=UPDATE&amp;creator=factset&amp;DYN_ARGS=TRUE&amp;DOC_NAME=FAT:FQL_AUDITING_CLIENT_TEMPLATE.FAT&amp;display_string=Audit&amp;VAR:KEY=CRYNQNCVWB&amp;VAR:QUERY=RkZfREVCVF9MVChRVFIsMzk2ODIsMzk2ODIp&amp;WINDOW=FIRST_POPUP&amp;HEIGHT=450&amp;WIDTH=450&amp;START_MA","XIMIZED=FALSE&amp;VAR:CALENDAR=FIVEDAY&amp;VAR:SYMBOL=576947&amp;VAR:INDEX=0"}</definedName>
    <definedName name="_882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83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84__FDSAUDITLINK__" hidden="1">{"fdsup://directions/FAT Viewer?action=UPDATE&amp;creator=factset&amp;DYN_ARGS=TRUE&amp;DOC_NAME=FAT:FQL_AUDITING_CLIENT_TEMPLATE.FAT&amp;display_string=Audit&amp;VAR:KEY=CNOZERSVIV&amp;VAR:QUERY=RkZfREVCVF9MVChRVFIsMzk2NzUsMzk2NzUp&amp;WINDOW=FIRST_POPUP&amp;HEIGHT=450&amp;WIDTH=450&amp;START_MA","XIMIZED=FALSE&amp;VAR:CALENDAR=FIVEDAY&amp;VAR:SYMBOL=576947&amp;VAR:INDEX=0"}</definedName>
    <definedName name="_885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86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87__FDSAUDITLINK__" hidden="1">{"fdsup://directions/FAT Viewer?action=UPDATE&amp;creator=factset&amp;DYN_ARGS=TRUE&amp;DOC_NAME=FAT:FQL_AUDITING_CLIENT_TEMPLATE.FAT&amp;display_string=Audit&amp;VAR:KEY=OTGZCBCXCZ&amp;VAR:QUERY=RkZfREVCVF9MVChRVFIsMzk2NjgsMzk2Njgp&amp;WINDOW=FIRST_POPUP&amp;HEIGHT=450&amp;WIDTH=450&amp;START_MA","XIMIZED=FALSE&amp;VAR:CALENDAR=FIVEDAY&amp;VAR:SYMBOL=576947&amp;VAR:INDEX=0"}</definedName>
    <definedName name="_888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89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9__FDSAUDITLINK__" hidden="1">{"fdsup://IBCentral/FAT Viewer?action=UPDATE&amp;creator=factset&amp;DOC_NAME=fat:reuters_annual_shs_src_window.fat&amp;display_string=Audit&amp;DYN_ARGS=TRUE&amp;VAR:ID1=93142210&amp;VAR:RCODE=FDSSHSOUTDEPS&amp;VAR:SDATE=20040899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90__FDSAUDITLINK__" hidden="1">{"fdsup://directions/FAT Viewer?action=UPDATE&amp;creator=factset&amp;DYN_ARGS=TRUE&amp;DOC_NAME=FAT:FQL_AUDITING_CLIENT_TEMPLATE.FAT&amp;display_string=Audit&amp;VAR:KEY=GFABCLIHCZ&amp;VAR:QUERY=RkZfREVCVF9MVChRVFIsMzk2NjEsMzk2NjEp&amp;WINDOW=FIRST_POPUP&amp;HEIGHT=450&amp;WIDTH=450&amp;START_MA","XIMIZED=FALSE&amp;VAR:CALENDAR=FIVEDAY&amp;VAR:SYMBOL=576947&amp;VAR:INDEX=0"}</definedName>
    <definedName name="_891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93__FDSAUDITLINK__" hidden="1">{"fdsup://directions/FAT Viewer?action=UPDATE&amp;creator=factset&amp;DYN_ARGS=TRUE&amp;DOC_NAME=FAT:FQL_AUDITING_CLIENT_TEMPLATE.FAT&amp;display_string=Audit&amp;VAR:KEY=UHCDEXCTUN&amp;VAR:QUERY=RkZfREVCVF9MVChRVFIsMzk2NTQsMzk2NTQp&amp;WINDOW=FIRST_POPUP&amp;HEIGHT=450&amp;WIDTH=450&amp;START_MA","XIMIZED=FALSE&amp;VAR:CALENDAR=FIVEDAY&amp;VAR:SYMBOL=576947&amp;VAR:INDEX=0"}</definedName>
    <definedName name="_894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95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96__FDSAUDITLINK__" hidden="1">{"fdsup://directions/FAT Viewer?action=UPDATE&amp;creator=factset&amp;DYN_ARGS=TRUE&amp;DOC_NAME=FAT:FQL_AUDITING_CLIENT_TEMPLATE.FAT&amp;display_string=Audit&amp;VAR:KEY=CRCLUZKVKN&amp;VAR:QUERY=RkZfREVCVF9MVChRVFIsMzk2NDcsMzk2NDcp&amp;WINDOW=FIRST_POPUP&amp;HEIGHT=450&amp;WIDTH=450&amp;START_MA","XIMIZED=FALSE&amp;VAR:CALENDAR=FIVEDAY&amp;VAR:SYMBOL=576947&amp;VAR:INDEX=0"}</definedName>
    <definedName name="_897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98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99__FDSAUDITLINK__" hidden="1">{"fdsup://directions/FAT Viewer?action=UPDATE&amp;creator=factset&amp;DYN_ARGS=TRUE&amp;DOC_NAME=FAT:FQL_AUDITING_CLIENT_TEMPLATE.FAT&amp;display_string=Audit&amp;VAR:KEY=MHMTIDMFEZ&amp;VAR:QUERY=RkZfREVCVF9MVChRVFIsMzk2NDAsMzk2NDAp&amp;WINDOW=FIRST_POPUP&amp;HEIGHT=450&amp;WIDTH=450&amp;START_MA","XIMIZED=FALSE&amp;VAR:CALENDAR=FIVEDAY&amp;VAR:SYMBOL=576947&amp;VAR:INDEX=0"}</definedName>
    <definedName name="_9__FDSAUDITLINK__" hidden="1">{"fdsup://IBCentral/FAT Viewer?action=UPDATE&amp;creator=factset&amp;DOC_NAME=fat:reuters_annual_shs_src_window.fat&amp;display_string=Audit&amp;DYN_ARGS=TRUE&amp;VAR:ID1=03073E10&amp;VAR:RCODE=FDSSHSOUTDEPS&amp;VAR:SDATE=20000999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annual_shs_src_window.fat&amp;display_string=Audit&amp;DYN_ARGS=TRUE&amp;VAR:ID1=93142210&amp;VAR:RCODE=FDSSHSOUTDEPS&amp;VAR:SDATE=20030899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00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901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902__FDSAUDITLINK__" hidden="1">{"fdsup://directions/FAT Viewer?action=UPDATE&amp;creator=factset&amp;DYN_ARGS=TRUE&amp;DOC_NAME=FAT:FQL_AUDITING_CLIENT_TEMPLATE.FAT&amp;display_string=Audit&amp;VAR:KEY=MNYXQZUFEL&amp;VAR:QUERY=RkZfREVCVF9MVChRVFIsMzk2MzMsMzk2MzMp&amp;WINDOW=FIRST_POPUP&amp;HEIGHT=450&amp;WIDTH=450&amp;START_MA","XIMIZED=FALSE&amp;VAR:CALENDAR=FIVEDAY&amp;VAR:SYMBOL=576947&amp;VAR:INDEX=0"}</definedName>
    <definedName name="_903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904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905__FDSAUDITLINK__" hidden="1">{"fdsup://directions/FAT Viewer?action=UPDATE&amp;creator=factset&amp;DYN_ARGS=TRUE&amp;DOC_NAME=FAT:FQL_AUDITING_CLIENT_TEMPLATE.FAT&amp;display_string=Audit&amp;VAR:KEY=INEFMDURWD&amp;VAR:QUERY=RkZfREVCVF9MVChRVFIsMzk2MjYsMzk2MjYp&amp;WINDOW=FIRST_POPUP&amp;HEIGHT=450&amp;WIDTH=450&amp;START_MA","XIMIZED=FALSE&amp;VAR:CALENDAR=FIVEDAY&amp;VAR:SYMBOL=576947&amp;VAR:INDEX=0"}</definedName>
    <definedName name="_906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07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08__FDSAUDITLINK__" hidden="1">{"fdsup://directions/FAT Viewer?action=UPDATE&amp;creator=factset&amp;DYN_ARGS=TRUE&amp;DOC_NAME=FAT:FQL_AUDITING_CLIENT_TEMPLATE.FAT&amp;display_string=Audit&amp;VAR:KEY=MZOXETOLCT&amp;VAR:QUERY=RkZfREVCVF9MVChRVFIsMzk2MTksMzk2MTkp&amp;WINDOW=FIRST_POPUP&amp;HEIGHT=450&amp;WIDTH=450&amp;START_MA","XIMIZED=FALSE&amp;VAR:CALENDAR=FIVEDAY&amp;VAR:SYMBOL=576947&amp;VAR:INDEX=0"}</definedName>
    <definedName name="_909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1__FDSAUDITLINK__" hidden="1">{"fdsup://IBCentral/FAT Viewer?action=UPDATE&amp;creator=factset&amp;DOC_NAME=fat:reuters_annual_shs_src_window.fat&amp;display_string=Audit&amp;DYN_ARGS=TRUE&amp;VAR:ID1=93142210&amp;VAR:RCODE=FDSSHSOUTDEPS&amp;VAR:SDATE=20020899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10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11__FDSAUDITLINK__" hidden="1">{"fdsup://directions/FAT Viewer?action=UPDATE&amp;creator=factset&amp;DYN_ARGS=TRUE&amp;DOC_NAME=FAT:FQL_AUDITING_CLIENT_TEMPLATE.FAT&amp;display_string=Audit&amp;VAR:KEY=ENGVIDYZGD&amp;VAR:QUERY=RkZfREVCVF9MVChRVFIsMzk2MTIsMzk2MTIp&amp;WINDOW=FIRST_POPUP&amp;HEIGHT=450&amp;WIDTH=450&amp;START_MA","XIMIZED=FALSE&amp;VAR:CALENDAR=FIVEDAY&amp;VAR:SYMBOL=576947&amp;VAR:INDEX=0"}</definedName>
    <definedName name="_912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13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14__FDSAUDITLINK__" hidden="1">{"fdsup://directions/FAT Viewer?action=UPDATE&amp;creator=factset&amp;DYN_ARGS=TRUE&amp;DOC_NAME=FAT:FQL_AUDITING_CLIENT_TEMPLATE.FAT&amp;display_string=Audit&amp;VAR:KEY=UTOPYLAVUP&amp;VAR:QUERY=RkZfREVCVF9MVChRVFIsMzk2MDUsMzk2MDUp&amp;WINDOW=FIRST_POPUP&amp;HEIGHT=450&amp;WIDTH=450&amp;START_MA","XIMIZED=FALSE&amp;VAR:CALENDAR=FIVEDAY&amp;VAR:SYMBOL=576947&amp;VAR:INDEX=0"}</definedName>
    <definedName name="_915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16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17__FDSAUDITLINK__" hidden="1">{"fdsup://directions/FAT Viewer?action=UPDATE&amp;creator=factset&amp;DYN_ARGS=TRUE&amp;DOC_NAME=FAT:FQL_AUDITING_CLIENT_TEMPLATE.FAT&amp;display_string=Audit&amp;VAR:KEY=CPWFEHAPED&amp;VAR:QUERY=RkZfREVCVF9MVChRVFIsMzk1OTgsMzk1OTgp&amp;WINDOW=FIRST_POPUP&amp;HEIGHT=450&amp;WIDTH=450&amp;START_MA","XIMIZED=FALSE&amp;VAR:CALENDAR=FIVEDAY&amp;VAR:SYMBOL=576947&amp;VAR:INDEX=0"}</definedName>
    <definedName name="_918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19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2__FDSAUDITLINK__" hidden="1">{"fdsup://IBCentral/FAT Viewer?action=UPDATE&amp;creator=factset&amp;DOC_NAME=fat:reuters_annual_shs_src_window.fat&amp;display_string=Audit&amp;DYN_ARGS=TRUE&amp;VAR:ID1=93142210&amp;VAR:RCODE=FDSSHSOUTDEPS&amp;VAR:SDATE=20010899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20__FDSAUDITLINK__" hidden="1">{"fdsup://directions/FAT Viewer?action=UPDATE&amp;creator=factset&amp;DYN_ARGS=TRUE&amp;DOC_NAME=FAT:FQL_AUDITING_CLIENT_TEMPLATE.FAT&amp;display_string=Audit&amp;VAR:KEY=YHYNEDWVYD&amp;VAR:QUERY=RkZfREVCVF9MVChRVFIsMzk1OTEsMzk1OTEp&amp;WINDOW=FIRST_POPUP&amp;HEIGHT=450&amp;WIDTH=450&amp;START_MA","XIMIZED=FALSE&amp;VAR:CALENDAR=FIVEDAY&amp;VAR:SYMBOL=576947&amp;VAR:INDEX=0"}</definedName>
    <definedName name="_921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22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23__FDSAUDITLINK__" hidden="1">{"fdsup://directions/FAT Viewer?action=UPDATE&amp;creator=factset&amp;DYN_ARGS=TRUE&amp;DOC_NAME=FAT:FQL_AUDITING_CLIENT_TEMPLATE.FAT&amp;display_string=Audit&amp;VAR:KEY=MJEXELKHQX&amp;VAR:QUERY=RkZfREVCVF9MVChRVFIsMzk1ODQsMzk1ODQp&amp;WINDOW=FIRST_POPUP&amp;HEIGHT=450&amp;WIDTH=450&amp;START_MA","XIMIZED=FALSE&amp;VAR:CALENDAR=FIVEDAY&amp;VAR:SYMBOL=576947&amp;VAR:INDEX=0"}</definedName>
    <definedName name="_924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25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26__FDSAUDITLINK__" hidden="1">{"fdsup://directions/FAT Viewer?action=UPDATE&amp;creator=factset&amp;DYN_ARGS=TRUE&amp;DOC_NAME=FAT:FQL_AUDITING_CLIENT_TEMPLATE.FAT&amp;display_string=Audit&amp;VAR:KEY=OXMVWPSFMR&amp;VAR:QUERY=RkZfREVCVF9MVChRVFIsMzk1NzcsMzk1Nzcp&amp;WINDOW=FIRST_POPUP&amp;HEIGHT=450&amp;WIDTH=450&amp;START_MA","XIMIZED=FALSE&amp;VAR:CALENDAR=FIVEDAY&amp;VAR:SYMBOL=576947&amp;VAR:INDEX=0"}</definedName>
    <definedName name="_927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28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29__FDSAUDITLINK__" hidden="1">{"fdsup://directions/FAT Viewer?action=UPDATE&amp;creator=factset&amp;DYN_ARGS=TRUE&amp;DOC_NAME=FAT:FQL_AUDITING_CLIENT_TEMPLATE.FAT&amp;display_string=Audit&amp;VAR:KEY=YHCBORIRIL&amp;VAR:QUERY=RkZfREVCVF9MVChRVFIsMzk1NzAsMzk1NzAp&amp;WINDOW=FIRST_POPUP&amp;HEIGHT=450&amp;WIDTH=450&amp;START_MA","XIMIZED=FALSE&amp;VAR:CALENDAR=FIVEDAY&amp;VAR:SYMBOL=576947&amp;VAR:INDEX=0"}</definedName>
    <definedName name="_93__FDSAUDITLINK__" hidden="1">{"fdsup://IBCentral/FAT Viewer?action=UPDATE&amp;creator=factset&amp;DOC_NAME=fat:reuters_annual_shs_src_window.fat&amp;display_string=Audit&amp;DYN_ARGS=TRUE&amp;VAR:ID1=93142210&amp;VAR:RCODE=FDSSHSOUTDEPS&amp;VAR:SDATE=20000899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30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31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32__FDSAUDITLINK__" hidden="1">{"fdsup://directions/FAT Viewer?action=UPDATE&amp;creator=factset&amp;DYN_ARGS=TRUE&amp;DOC_NAME=FAT:FQL_AUDITING_CLIENT_TEMPLATE.FAT&amp;display_string=Audit&amp;VAR:KEY=ERMPSJURKL&amp;VAR:QUERY=RkZfREVCVF9MVChRVFIsMzk1NjMsMzk1NjMp&amp;WINDOW=FIRST_POPUP&amp;HEIGHT=450&amp;WIDTH=450&amp;START_MA","XIMIZED=FALSE&amp;VAR:CALENDAR=FIVEDAY&amp;VAR:SYMBOL=576947&amp;VAR:INDEX=0"}</definedName>
    <definedName name="_933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34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35__FDSAUDITLINK__" hidden="1">{"fdsup://directions/FAT Viewer?action=UPDATE&amp;creator=factset&amp;DYN_ARGS=TRUE&amp;DOC_NAME=FAT:FQL_AUDITING_CLIENT_TEMPLATE.FAT&amp;display_string=Audit&amp;VAR:KEY=CRKFIJSXCV&amp;VAR:QUERY=RkZfREVCVF9MVChRVFIsMzk1NTYsMzk1NTYp&amp;WINDOW=FIRST_POPUP&amp;HEIGHT=450&amp;WIDTH=450&amp;START_MA","XIMIZED=FALSE&amp;VAR:CALENDAR=FIVEDAY&amp;VAR:SYMBOL=576947&amp;VAR:INDEX=0"}</definedName>
    <definedName name="_936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37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38__FDSAUDITLINK__" hidden="1">{"fdsup://directions/FAT Viewer?action=UPDATE&amp;creator=factset&amp;DYN_ARGS=TRUE&amp;DOC_NAME=FAT:FQL_AUDITING_CLIENT_TEMPLATE.FAT&amp;display_string=Audit&amp;VAR:KEY=CXYDUDURQX&amp;VAR:QUERY=RkZfREVCVF9MVChRVFIsMzk1NDksMzk1NDkp&amp;WINDOW=FIRST_POPUP&amp;HEIGHT=450&amp;WIDTH=450&amp;START_MA","XIMIZED=FALSE&amp;VAR:CALENDAR=FIVEDAY&amp;VAR:SYMBOL=576947&amp;VAR:INDEX=0"}</definedName>
    <definedName name="_939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4__FDSAUDITLINK__" hidden="1">{"fdsup://IBCentral/FAT Viewer?action=UPDATE&amp;creator=factset&amp;DOC_NAME=fat:reuters_annual_shs_src_window.fat&amp;display_string=Audit&amp;DYN_ARGS=TRUE&amp;VAR:ID1=93142210&amp;VAR:RCODE=FDSSHSOUTDEPS&amp;VAR:SDATE=19990899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40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41__FDSAUDITLINK__" hidden="1">{"fdsup://directions/FAT Viewer?action=UPDATE&amp;creator=factset&amp;DYN_ARGS=TRUE&amp;DOC_NAME=FAT:FQL_AUDITING_CLIENT_TEMPLATE.FAT&amp;display_string=Audit&amp;VAR:KEY=YZQLEFMJAF&amp;VAR:QUERY=RkZfREVCVF9MVChRVFIsMzk1NDIsMzk1NDIp&amp;WINDOW=FIRST_POPUP&amp;HEIGHT=450&amp;WIDTH=450&amp;START_MA","XIMIZED=FALSE&amp;VAR:CALENDAR=FIVEDAY&amp;VAR:SYMBOL=576947&amp;VAR:INDEX=0"}</definedName>
    <definedName name="_942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43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44__FDSAUDITLINK__" hidden="1">{"fdsup://directions/FAT Viewer?action=UPDATE&amp;creator=factset&amp;DYN_ARGS=TRUE&amp;DOC_NAME=FAT:FQL_AUDITING_CLIENT_TEMPLATE.FAT&amp;display_string=Audit&amp;VAR:KEY=OHCDGNWPML&amp;VAR:QUERY=RkZfREVCVF9MVChRVFIsMzk1MzUsMzk1MzUp&amp;WINDOW=FIRST_POPUP&amp;HEIGHT=450&amp;WIDTH=450&amp;START_MA","XIMIZED=FALSE&amp;VAR:CALENDAR=FIVEDAY&amp;VAR:SYMBOL=576947&amp;VAR:INDEX=0"}</definedName>
    <definedName name="_945__FDSAUDITLINK__" hidden="1">{"fdsup://directions/FAT Viewer?action=UPDATE&amp;creator=factset&amp;DYN_ARGS=TRUE&amp;DOC_NAME=FAT:FQL_AUDITING_CLIENT_TEMPLATE.FAT&amp;display_string=Audit&amp;VAR:KEY=QNIRARQXMB&amp;VAR:QUERY=RkZfREVCVF9MVChRVFIsMzk1MjgsMzk1Mjgp&amp;WINDOW=FIRST_POPUP&amp;HEIGHT=450&amp;WIDTH=450&amp;START_MA","XIMIZED=FALSE&amp;VAR:CALENDAR=FIVEDAY&amp;VAR:SYMBOL=576947&amp;VAR:INDEX=0"}</definedName>
    <definedName name="_946__FDSAUDITLINK__" hidden="1">{"fdsup://directions/FAT Viewer?action=UPDATE&amp;creator=factset&amp;DYN_ARGS=TRUE&amp;DOC_NAME=FAT:FQL_AUDITING_CLIENT_TEMPLATE.FAT&amp;display_string=Audit&amp;VAR:KEY=OJYFCVEBGJ&amp;VAR:QUERY=RkZfREVCVF9MVChRVFIsMzk1MjEsMzk1MjEp&amp;WINDOW=FIRST_POPUP&amp;HEIGHT=450&amp;WIDTH=450&amp;START_MA","XIMIZED=FALSE&amp;VAR:CALENDAR=FIVEDAY&amp;VAR:SYMBOL=576947&amp;VAR:INDEX=0"}</definedName>
    <definedName name="_947__FDSAUDITLINK__" hidden="1">{"fdsup://directions/FAT Viewer?action=UPDATE&amp;creator=factset&amp;DYN_ARGS=TRUE&amp;DOC_NAME=FAT:FQL_AUDITING_CLIENT_TEMPLATE.FAT&amp;display_string=Audit&amp;VAR:KEY=QXKHMDMDKL&amp;VAR:QUERY=RkZfREVCVF9MVChRVFIsMzk1MTQsMzk1MTQp&amp;WINDOW=FIRST_POPUP&amp;HEIGHT=450&amp;WIDTH=450&amp;START_MA","XIMIZED=FALSE&amp;VAR:CALENDAR=FIVEDAY&amp;VAR:SYMBOL=576947&amp;VAR:INDEX=0"}</definedName>
    <definedName name="_948__FDSAUDITLINK__" hidden="1">{"fdsup://directions/FAT Viewer?action=UPDATE&amp;creator=factset&amp;DYN_ARGS=TRUE&amp;DOC_NAME=FAT:FQL_AUDITING_CLIENT_TEMPLATE.FAT&amp;display_string=Audit&amp;VAR:KEY=GXALILMFMJ&amp;VAR:QUERY=RkZfREVCVF9MVChRVFIsMzk1MDcsMzk1MDcp&amp;WINDOW=FIRST_POPUP&amp;HEIGHT=450&amp;WIDTH=450&amp;START_MA","XIMIZED=FALSE&amp;VAR:CALENDAR=FIVEDAY&amp;VAR:SYMBOL=576947&amp;VAR:INDEX=0"}</definedName>
    <definedName name="_949__FDSAUDITLINK__" hidden="1">{"fdsup://directions/FAT Viewer?action=UPDATE&amp;creator=factset&amp;DYN_ARGS=TRUE&amp;DOC_NAME=FAT:FQL_AUDITING_CLIENT_TEMPLATE.FAT&amp;display_string=Audit&amp;VAR:KEY=MXQTWJOHYJ&amp;VAR:QUERY=RkZfREVCVF9MVChRVFIsMzk1MDAsMzk1MDAp&amp;WINDOW=FIRST_POPUP&amp;HEIGHT=450&amp;WIDTH=450&amp;START_MA","XIMIZED=FALSE&amp;VAR:CALENDAR=FIVEDAY&amp;VAR:SYMBOL=576947&amp;VAR:INDEX=0"}</definedName>
    <definedName name="_95__FDSAUDITLINK__" hidden="1">{"fdsup://IBCentral/FAT Viewer?action=UPDATE&amp;creator=factset&amp;DOC_NAME=fat:reuters_annual_source_window.fat&amp;display_string=Audit&amp;DYN_ARGS=TRUE&amp;VAR:ID1=93142210&amp;VAR:RCODE=FCDP&amp;VAR:SDATE=20080899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50__FDSAUDITLINK__" hidden="1">{"fdsup://directions/FAT Viewer?action=UPDATE&amp;creator=factset&amp;DYN_ARGS=TRUE&amp;DOC_NAME=FAT:FQL_AUDITING_CLIENT_TEMPLATE.FAT&amp;display_string=Audit&amp;VAR:KEY=WVYTGTCDUZ&amp;VAR:QUERY=RkZfREVCVF9MVChRVFIsMzk0OTMsMzk0OTMp&amp;WINDOW=FIRST_POPUP&amp;HEIGHT=450&amp;WIDTH=450&amp;START_MA","XIMIZED=FALSE&amp;VAR:CALENDAR=FIVEDAY&amp;VAR:SYMBOL=576947&amp;VAR:INDEX=0"}</definedName>
    <definedName name="_951__FDSAUDITLINK__" hidden="1">{"fdsup://directions/FAT Viewer?action=UPDATE&amp;creator=factset&amp;DYN_ARGS=TRUE&amp;DOC_NAME=FAT:FQL_AUDITING_CLIENT_TEMPLATE.FAT&amp;display_string=Audit&amp;VAR:KEY=QLWLCVCRIV&amp;VAR:QUERY=RkZfREVCVF9MVChRVFIsMzk0ODYsMzk0ODYp&amp;WINDOW=FIRST_POPUP&amp;HEIGHT=450&amp;WIDTH=450&amp;START_MA","XIMIZED=FALSE&amp;VAR:CALENDAR=FIVEDAY&amp;VAR:SYMBOL=576947&amp;VAR:INDEX=0"}</definedName>
    <definedName name="_952__FDSAUDITLINK__" hidden="1">{"fdsup://directions/FAT Viewer?action=UPDATE&amp;creator=factset&amp;DYN_ARGS=TRUE&amp;DOC_NAME=FAT:FQL_AUDITING_CLIENT_TEMPLATE.FAT&amp;display_string=Audit&amp;VAR:KEY=UXSNOTQJAJ&amp;VAR:QUERY=RkZfREVCVF9MVChRVFIsMzk0NzksMzk0Nzkp&amp;WINDOW=FIRST_POPUP&amp;HEIGHT=450&amp;WIDTH=450&amp;START_MA","XIMIZED=FALSE&amp;VAR:CALENDAR=FIVEDAY&amp;VAR:SYMBOL=576947&amp;VAR:INDEX=0"}</definedName>
    <definedName name="_953__FDSAUDITLINK__" hidden="1">{"fdsup://directions/FAT Viewer?action=UPDATE&amp;creator=factset&amp;DYN_ARGS=TRUE&amp;DOC_NAME=FAT:FQL_AUDITING_CLIENT_TEMPLATE.FAT&amp;display_string=Audit&amp;VAR:KEY=QVYDQXETKL&amp;VAR:QUERY=RkZfREVCVF9MVChRVFIsMzk0NzIsMzk0NzIp&amp;WINDOW=FIRST_POPUP&amp;HEIGHT=450&amp;WIDTH=450&amp;START_MA","XIMIZED=FALSE&amp;VAR:CALENDAR=FIVEDAY&amp;VAR:SYMBOL=576947&amp;VAR:INDEX=0"}</definedName>
    <definedName name="_954__FDSAUDITLINK__" hidden="1">{"fdsup://directions/FAT Viewer?action=UPDATE&amp;creator=factset&amp;DYN_ARGS=TRUE&amp;DOC_NAME=FAT:FQL_AUDITING_CLIENT_TEMPLATE.FAT&amp;display_string=Audit&amp;VAR:KEY=MBAVAXCNKV&amp;VAR:QUERY=RkZfREVCVF9MVChRVFIsMzk0NjUsMzk0NjUp&amp;WINDOW=FIRST_POPUP&amp;HEIGHT=450&amp;WIDTH=450&amp;START_MA","XIMIZED=FALSE&amp;VAR:CALENDAR=FIVEDAY&amp;VAR:SYMBOL=576947&amp;VAR:INDEX=0"}</definedName>
    <definedName name="_955__FDSAUDITLINK__" hidden="1">{"fdsup://directions/FAT Viewer?action=UPDATE&amp;creator=factset&amp;DYN_ARGS=TRUE&amp;DOC_NAME=FAT:FQL_AUDITING_CLIENT_TEMPLATE.FAT&amp;display_string=Audit&amp;VAR:KEY=UVWVYNSPQP&amp;VAR:QUERY=RkZfREVCVF9MVChRVFIsMzk0NTgsMzk0NTgp&amp;WINDOW=FIRST_POPUP&amp;HEIGHT=450&amp;WIDTH=450&amp;START_MA","XIMIZED=FALSE&amp;VAR:CALENDAR=FIVEDAY&amp;VAR:SYMBOL=576947&amp;VAR:INDEX=0"}</definedName>
    <definedName name="_956__FDSAUDITLINK__" hidden="1">{"fdsup://directions/FAT Viewer?action=UPDATE&amp;creator=factset&amp;DYN_ARGS=TRUE&amp;DOC_NAME=FAT:FQL_AUDITING_CLIENT_TEMPLATE.FAT&amp;display_string=Audit&amp;VAR:KEY=YBURSBKJUZ&amp;VAR:QUERY=RkZfREVCVF9MVChRVFIsMzk0NTEsMzk0NTEp&amp;WINDOW=FIRST_POPUP&amp;HEIGHT=450&amp;WIDTH=450&amp;START_MA","XIMIZED=FALSE&amp;VAR:CALENDAR=FIVEDAY&amp;VAR:SYMBOL=576947&amp;VAR:INDEX=0"}</definedName>
    <definedName name="_957__FDSAUDITLINK__" hidden="1">{"fdsup://directions/FAT Viewer?action=UPDATE&amp;creator=factset&amp;DYN_ARGS=TRUE&amp;DOC_NAME=FAT:FQL_AUDITING_CLIENT_TEMPLATE.FAT&amp;display_string=Audit&amp;VAR:KEY=SNERGPYFEB&amp;VAR:QUERY=RkZfREVCVF9MVChRVFIsMzk0NDQsMzk0NDQp&amp;WINDOW=FIRST_POPUP&amp;HEIGHT=450&amp;WIDTH=450&amp;START_MA","XIMIZED=FALSE&amp;VAR:CALENDAR=FIVEDAY&amp;VAR:SYMBOL=576947&amp;VAR:INDEX=0"}</definedName>
    <definedName name="_958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59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6__FDSAUDITLINK__" hidden="1">{"fdsup://IBCentral/FAT Viewer?action=UPDATE&amp;creator=factset&amp;DOC_NAME=fat:reuters_annual_source_window.fat&amp;display_string=Audit&amp;DYN_ARGS=TRUE&amp;VAR:ID1=93142210&amp;VAR:RCODE=FCDP&amp;VAR:SDATE=20070899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60__FDSAUDITLINK__" hidden="1">{"fdsup://directions/FAT Viewer?action=UPDATE&amp;creator=factset&amp;DYN_ARGS=TRUE&amp;DOC_NAME=FAT:FQL_AUDITING_CLIENT_TEMPLATE.FAT&amp;display_string=Audit&amp;VAR:KEY=OHELOJKFUX&amp;VAR:QUERY=RkZfREVCVF9MVChRVFIsMzk0MzcsMzk0Mzcp&amp;WINDOW=FIRST_POPUP&amp;HEIGHT=450&amp;WIDTH=450&amp;START_MA","XIMIZED=FALSE&amp;VAR:CALENDAR=FIVEDAY&amp;VAR:SYMBOL=576947&amp;VAR:INDEX=0"}</definedName>
    <definedName name="_961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62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63__FDSAUDITLINK__" hidden="1">{"fdsup://directions/FAT Viewer?action=UPDATE&amp;creator=factset&amp;DYN_ARGS=TRUE&amp;DOC_NAME=FAT:FQL_AUDITING_CLIENT_TEMPLATE.FAT&amp;display_string=Audit&amp;VAR:KEY=OFYLIBEHWF&amp;VAR:QUERY=RkZfREVCVF9MVChRVFIsMzk0MzAsMzk0MzAp&amp;WINDOW=FIRST_POPUP&amp;HEIGHT=450&amp;WIDTH=450&amp;START_MA","XIMIZED=FALSE&amp;VAR:CALENDAR=FIVEDAY&amp;VAR:SYMBOL=576947&amp;VAR:INDEX=0"}</definedName>
    <definedName name="_964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65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66__FDSAUDITLINK__" hidden="1">{"fdsup://directions/FAT Viewer?action=UPDATE&amp;creator=factset&amp;DYN_ARGS=TRUE&amp;DOC_NAME=FAT:FQL_AUDITING_CLIENT_TEMPLATE.FAT&amp;display_string=Audit&amp;VAR:KEY=SNKFQXCNSD&amp;VAR:QUERY=RkZfREVCVF9MVChRVFIsMzk0MjMsMzk0MjMp&amp;WINDOW=FIRST_POPUP&amp;HEIGHT=450&amp;WIDTH=450&amp;START_MA","XIMIZED=FALSE&amp;VAR:CALENDAR=FIVEDAY&amp;VAR:SYMBOL=576947&amp;VAR:INDEX=0"}</definedName>
    <definedName name="_967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68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69__FDSAUDITLINK__" hidden="1">{"fdsup://directions/FAT Viewer?action=UPDATE&amp;creator=factset&amp;DYN_ARGS=TRUE&amp;DOC_NAME=FAT:FQL_AUDITING_CLIENT_TEMPLATE.FAT&amp;display_string=Audit&amp;VAR:KEY=ARGHAFMBKZ&amp;VAR:QUERY=RkZfREVCVF9MVChRVFIsMzk0MTYsMzk0MTYp&amp;WINDOW=FIRST_POPUP&amp;HEIGHT=450&amp;WIDTH=450&amp;START_MA","XIMIZED=FALSE&amp;VAR:CALENDAR=FIVEDAY&amp;VAR:SYMBOL=576947&amp;VAR:INDEX=0"}</definedName>
    <definedName name="_97__FDSAUDITLINK__" hidden="1">{"fdsup://IBCentral/FAT Viewer?action=UPDATE&amp;creator=factset&amp;DOC_NAME=fat:reuters_annual_source_window.fat&amp;display_string=Audit&amp;DYN_ARGS=TRUE&amp;VAR:ID1=93142210&amp;VAR:RCODE=FCDP&amp;VAR:SDATE=20060899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70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71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72__FDSAUDITLINK__" hidden="1">{"fdsup://directions/FAT Viewer?action=UPDATE&amp;creator=factset&amp;DYN_ARGS=TRUE&amp;DOC_NAME=FAT:FQL_AUDITING_CLIENT_TEMPLATE.FAT&amp;display_string=Audit&amp;VAR:KEY=UDEJYTWTAL&amp;VAR:QUERY=RkZfREVCVF9MVChRVFIsMzk0MDksMzk0MDkp&amp;WINDOW=FIRST_POPUP&amp;HEIGHT=450&amp;WIDTH=450&amp;START_MA","XIMIZED=FALSE&amp;VAR:CALENDAR=FIVEDAY&amp;VAR:SYMBOL=576947&amp;VAR:INDEX=0"}</definedName>
    <definedName name="_973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74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75__FDSAUDITLINK__" hidden="1">{"fdsup://directions/FAT Viewer?action=UPDATE&amp;creator=factset&amp;DYN_ARGS=TRUE&amp;DOC_NAME=FAT:FQL_AUDITING_CLIENT_TEMPLATE.FAT&amp;display_string=Audit&amp;VAR:KEY=QJYTERYXSD&amp;VAR:QUERY=RkZfREVCVF9MVChRVFIsMzk0MDIsMzk0MDIp&amp;WINDOW=FIRST_POPUP&amp;HEIGHT=450&amp;WIDTH=450&amp;START_MA","XIMIZED=FALSE&amp;VAR:CALENDAR=FIVEDAY&amp;VAR:SYMBOL=576947&amp;VAR:INDEX=0"}</definedName>
    <definedName name="_976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77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78__FDSAUDITLINK__" hidden="1">{"fdsup://directions/FAT Viewer?action=UPDATE&amp;creator=factset&amp;DYN_ARGS=TRUE&amp;DOC_NAME=FAT:FQL_AUDITING_CLIENT_TEMPLATE.FAT&amp;display_string=Audit&amp;VAR:KEY=KNSXEXUDQJ&amp;VAR:QUERY=RkZfREVCVF9MVChRVFIsMzkzOTUsMzkzOTUp&amp;WINDOW=FIRST_POPUP&amp;HEIGHT=450&amp;WIDTH=450&amp;START_MA","XIMIZED=FALSE&amp;VAR:CALENDAR=FIVEDAY&amp;VAR:SYMBOL=576947&amp;VAR:INDEX=0"}</definedName>
    <definedName name="_979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8__FDSAUDITLINK__" hidden="1">{"fdsup://IBCentral/FAT Viewer?action=UPDATE&amp;creator=factset&amp;DOC_NAME=fat:reuters_annual_source_window.fat&amp;display_string=Audit&amp;DYN_ARGS=TRUE&amp;VAR:ID1=93142210&amp;VAR:RCODE=FCDP&amp;VAR:SDATE=20050899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80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81__FDSAUDITLINK__" hidden="1">{"fdsup://directions/FAT Viewer?action=UPDATE&amp;creator=factset&amp;DYN_ARGS=TRUE&amp;DOC_NAME=FAT:FQL_AUDITING_CLIENT_TEMPLATE.FAT&amp;display_string=Audit&amp;VAR:KEY=QBGBYNSHMJ&amp;VAR:QUERY=RkZfREVCVF9MVChRVFIsMzkzODgsMzkzODgp&amp;WINDOW=FIRST_POPUP&amp;HEIGHT=450&amp;WIDTH=450&amp;START_MA","XIMIZED=FALSE&amp;VAR:CALENDAR=FIVEDAY&amp;VAR:SYMBOL=576947&amp;VAR:INDEX=0"}</definedName>
    <definedName name="_982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83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84__FDSAUDITLINK__" hidden="1">{"fdsup://directions/FAT Viewer?action=UPDATE&amp;creator=factset&amp;DYN_ARGS=TRUE&amp;DOC_NAME=FAT:FQL_AUDITING_CLIENT_TEMPLATE.FAT&amp;display_string=Audit&amp;VAR:KEY=OJMTIVIVID&amp;VAR:QUERY=RkZfREVCVF9MVChRVFIsMzkzODEsMzkzODEp&amp;WINDOW=FIRST_POPUP&amp;HEIGHT=450&amp;WIDTH=450&amp;START_MA","XIMIZED=FALSE&amp;VAR:CALENDAR=FIVEDAY&amp;VAR:SYMBOL=576947&amp;VAR:INDEX=0"}</definedName>
    <definedName name="_985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86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87__FDSAUDITLINK__" hidden="1">{"fdsup://directions/FAT Viewer?action=UPDATE&amp;creator=factset&amp;DYN_ARGS=TRUE&amp;DOC_NAME=FAT:FQL_AUDITING_CLIENT_TEMPLATE.FAT&amp;display_string=Audit&amp;VAR:KEY=MDYHMDKRAX&amp;VAR:QUERY=RkZfREVCVF9MVChRVFIsMzkzNzQsMzkzNzQp&amp;WINDOW=FIRST_POPUP&amp;HEIGHT=450&amp;WIDTH=450&amp;START_MA","XIMIZED=FALSE&amp;VAR:CALENDAR=FIVEDAY&amp;VAR:SYMBOL=576947&amp;VAR:INDEX=0"}</definedName>
    <definedName name="_988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89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9__FDSAUDITLINK__" hidden="1">{"fdsup://IBCentral/FAT Viewer?action=UPDATE&amp;creator=factset&amp;DOC_NAME=fat:reuters_annual_source_window.fat&amp;display_string=Audit&amp;DYN_ARGS=TRUE&amp;VAR:ID1=93142210&amp;VAR:RCODE=FCDP&amp;VAR:SDATE=20040899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90__FDSAUDITLINK__" hidden="1">{"fdsup://directions/FAT Viewer?action=UPDATE&amp;creator=factset&amp;DYN_ARGS=TRUE&amp;DOC_NAME=FAT:FQL_AUDITING_CLIENT_TEMPLATE.FAT&amp;display_string=Audit&amp;VAR:KEY=IZIDQZKFUP&amp;VAR:QUERY=RkZfREVCVF9MVChRVFIsMzkzNjcsMzkzNjcp&amp;WINDOW=FIRST_POPUP&amp;HEIGHT=450&amp;WIDTH=450&amp;START_MA","XIMIZED=FALSE&amp;VAR:CALENDAR=FIVEDAY&amp;VAR:SYMBOL=576947&amp;VAR:INDEX=0"}</definedName>
    <definedName name="_991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92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93__FDSAUDITLINK__" hidden="1">{"fdsup://directions/FAT Viewer?action=UPDATE&amp;creator=factset&amp;DYN_ARGS=TRUE&amp;DOC_NAME=FAT:FQL_AUDITING_CLIENT_TEMPLATE.FAT&amp;display_string=Audit&amp;VAR:KEY=YLMZGVEFMZ&amp;VAR:QUERY=RkZfREVCVF9MVChRVFIsMzkzNjAsMzkzNjAp&amp;WINDOW=FIRST_POPUP&amp;HEIGHT=450&amp;WIDTH=450&amp;START_MA","XIMIZED=FALSE&amp;VAR:CALENDAR=FIVEDAY&amp;VAR:SYMBOL=576947&amp;VAR:INDEX=0"}</definedName>
    <definedName name="_994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95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96__FDSAUDITLINK__" hidden="1">{"fdsup://directions/FAT Viewer?action=UPDATE&amp;creator=factset&amp;DYN_ARGS=TRUE&amp;DOC_NAME=FAT:FQL_AUDITING_CLIENT_TEMPLATE.FAT&amp;display_string=Audit&amp;VAR:KEY=CBENKHCLKF&amp;VAR:QUERY=RkZfREVCVF9MVChRVFIsMzkzNTMsMzkzNTMp&amp;WINDOW=FIRST_POPUP&amp;HEIGHT=450&amp;WIDTH=450&amp;START_MA","XIMIZED=FALSE&amp;VAR:CALENDAR=FIVEDAY&amp;VAR:SYMBOL=576947&amp;VAR:INDEX=0"}</definedName>
    <definedName name="_997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98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99__FDSAUDITLINK__" hidden="1">{"fdsup://directions/FAT Viewer?action=UPDATE&amp;creator=factset&amp;DYN_ARGS=TRUE&amp;DOC_NAME=FAT:FQL_AUDITING_CLIENT_TEMPLATE.FAT&amp;display_string=Audit&amp;VAR:KEY=GFUJGDQNID&amp;VAR:QUERY=RkZfREVCVF9MVChRVFIsMzkzNDYsMzkzNDYp&amp;WINDOW=FIRST_POPUP&amp;HEIGHT=450&amp;WIDTH=450&amp;START_MA","XIMIZED=FALSE&amp;VAR:CALENDAR=FIVEDAY&amp;VAR:SYMBOL=576947&amp;VAR:INDEX=0"}</definedName>
    <definedName name="_bdm.00ED30649E96471297E9F4A18EB9C815.edm" hidden="1">#REF!</definedName>
    <definedName name="_bdm.031755b03dee4116b4d00728d25fc053.edm" hidden="1">#REF!</definedName>
    <definedName name="_bdm.037B09DEE2F94E5A9CE7591656F87E82.edm" hidden="1">#REF!</definedName>
    <definedName name="_bdm.04396D6F3C3645C19B3C3FF31DC6C71F.edm" hidden="1">#REF!</definedName>
    <definedName name="_bdm.04d88965281f4b24bab03c71bb8a3ed2.edm" hidden="1">Charts!$1:$1048576</definedName>
    <definedName name="_bdm.05E46A4C515944F282008DE822CDDF13.edm" hidden="1">#REF!</definedName>
    <definedName name="_bdm.0920f9e9d6c64281baee3f027ccf3e1a.edm" hidden="1">#REF!</definedName>
    <definedName name="_bdm.0ae95dcc790d41408a4de401720d651b.edm" hidden="1">#REF!</definedName>
    <definedName name="_bdm.0DABD519A2994E88ACCE765343376994.edm" hidden="1">#REF!</definedName>
    <definedName name="_bdm.11190c6bb45b452e95872b48c706404d.edm" hidden="1">DCF!$1:$1048576</definedName>
    <definedName name="_bdm.1195116f78794d3986a4727eaa615269.edm" hidden="1">#REF!</definedName>
    <definedName name="_bdm.157D82E657374902993AF6702F51D077.edm" hidden="1">#REF!</definedName>
    <definedName name="_bdm.1644c4aec99b487fa5704689b4e9c561.edm" hidden="1">#REF!</definedName>
    <definedName name="_bdm.17D18670A37D4F3DA6351ACF23AE79E7.edm" hidden="1">'[1]Custom (2)US&amp;Others'!$A:$IV</definedName>
    <definedName name="_bdm.1B338B0CF64E49CF8D319F873EDA69DA.edm" hidden="1">[1]Spider!$A:$IV</definedName>
    <definedName name="_bdm.23512fef28bc48deb04f9d6b7b59460d.edm" hidden="1">#REF!</definedName>
    <definedName name="_bdm.28e7a74ec84e42f9a4c95bce4b51134d.edm" hidden="1">#REF!</definedName>
    <definedName name="_bdm.2aab333766c14347ac96e9cd20765495.edm" hidden="1">#REF!</definedName>
    <definedName name="_bdm.2c03c56dbfb9461eb19510e9690f35bc.edm" hidden="1">#REF!</definedName>
    <definedName name="_bdm.32DCACD5B6804E22B2A0F4295C16DFE5.edm" hidden="1">#REF!</definedName>
    <definedName name="_bdm.33F2CA5A58D74370B3BB6375350AB352.edm" hidden="1">#REF!</definedName>
    <definedName name="_bdm.3597C2F046E64593A30858932933151D.edm" hidden="1">'[2]S&amp;U'!$A:$IV</definedName>
    <definedName name="_bdm.361EA62C0FAC4AA5B45AD24A314BE72A.edm" hidden="1">#REF!</definedName>
    <definedName name="_bdm.46dd3b426348425ab6b50a34a3ce04c5.edm" hidden="1">#REF!</definedName>
    <definedName name="_bdm.48a01c2f52494330a9628e6c544eb69c.edm" hidden="1">#REF!</definedName>
    <definedName name="_bdm.4A630B2C13D1486C9136083DD8A0BA03.edm" hidden="1">'[1]Custom US&amp;Others'!$A:$IV</definedName>
    <definedName name="_bdm.4c6d291c3da9402997e9bc8bd49105e1.edm" hidden="1">#REF!</definedName>
    <definedName name="_bdm.4f3125b0ccc84c41a0be4e5d7e2a93cb.edm" hidden="1">#REF!</definedName>
    <definedName name="_bdm.55FD924ECA3741618D36F738B7F14EDB.edm" hidden="1">[2]Summary!$A:$IV</definedName>
    <definedName name="_bdm.56e39a581f2a43beb445d60899adfcc3.edm" hidden="1">#REF!</definedName>
    <definedName name="_bdm.581858c25923482d8db34d65276a2ace.edm" hidden="1">#REF!</definedName>
    <definedName name="_bdm.5938b3ecff39491e84b2da12c9165619.edm" hidden="1">#REF!</definedName>
    <definedName name="_bdm.5B7841BE28EF43639B750DD3B572C868.edm" hidden="1">#REF!</definedName>
    <definedName name="_bdm.5D9169329DA348B4B28370669260CC07.edm" hidden="1">#REF!</definedName>
    <definedName name="_bdm.5d93c2aada8f47948fba506e2c25a0cd.edm" hidden="1">#REF!</definedName>
    <definedName name="_bdm.5E43FAA5E02A40EABCF70B9B18E5E465.edm" hidden="1">#REF!</definedName>
    <definedName name="_bdm.5f3b88a90f324a2db1f29f46db8d7bbe.edm" hidden="1">#REF!</definedName>
    <definedName name="_bdm.657DEDC4B4FF4611ACF91C35D79915E8.edm" hidden="1">#REF!</definedName>
    <definedName name="_bdm.67E28C2B96DC4CA3AD34AC70B84090A6.edm" hidden="1">'[2]FSG ppt'!$A:$IV</definedName>
    <definedName name="_bdm.695CAC4EBD714CBAB2544E067817BE16.edm" hidden="1">#REF!</definedName>
    <definedName name="_bdm.6c4c41cf250b456785bab914cb29b5e7.edm" hidden="1">#REF!</definedName>
    <definedName name="_bdm.6C6C13B5282242CE9D654A8B5760467F.edm" hidden="1">#REF!</definedName>
    <definedName name="_bdm.6F13F7C7037E43DCA141F797FAB2CFFD.edm" hidden="1">[1]Scats!$A:$IV</definedName>
    <definedName name="_bdm.6f6f0145efb34eea90e63443baa9dc3b.edm" hidden="1">#REF!</definedName>
    <definedName name="_bdm.70e74afc11ac4ec0a96a0098857b0071.edm" hidden="1">#REF!</definedName>
    <definedName name="_bdm.761b7c3197874e098800a942a866275a.edm" hidden="1">#REF!</definedName>
    <definedName name="_bdm.78e097eb135c4f629620bddfde19f151.edm" hidden="1">#REF!</definedName>
    <definedName name="_bdm.79ACAB486AD2409E910AB72297D19A5D.edm" hidden="1">'[1]R-Sq'!$A:$IV</definedName>
    <definedName name="_bdm.79ED390C8A634EFB83A25ACD36304127.edm" hidden="1">#REF!</definedName>
    <definedName name="_bdm.79f1ccd27cb647f5857da90adddd8b11.edm" hidden="1">#REF!</definedName>
    <definedName name="_bdm.7b73e3afe069469991ecdb17babd3b05.edm" hidden="1">#REF!</definedName>
    <definedName name="_bdm.818742cfe566495086e6380eca28e467.edm" hidden="1">#REF!</definedName>
    <definedName name="_bdm.880DDCCC8302484CBF8CAE64C1CCEBF1.edm" hidden="1">#REF!</definedName>
    <definedName name="_bdm.8af86b31601e4f4795a647b33991e321.edm" hidden="1">#REF!</definedName>
    <definedName name="_bdm.8c5ce8b843444364a644131143650e22.edm" hidden="1">#REF!</definedName>
    <definedName name="_bdm.8d3d7b07968a4758939af34420ea8e5d.edm" hidden="1">#REF!</definedName>
    <definedName name="_bdm.8d75106419b8420a97a28bef6a893e66.edm" hidden="1">#REF!</definedName>
    <definedName name="_bdm.912ae896cf1144bc8bb75bedf54fcff6.edm" hidden="1">#REF!</definedName>
    <definedName name="_bdm.9184377848F54CE4A43EE74C8F346CBA.edm" hidden="1">[2]Scen!$A:$IV</definedName>
    <definedName name="_bdm.96a3aa42d3344f969789ec7cc2600107.edm" hidden="1">#REF!</definedName>
    <definedName name="_bdm.9aad89c4d83541a2bc8b8a5da795d061.edm" hidden="1">#REF!</definedName>
    <definedName name="_bdm.9c425e426082444297cf23cbee1de279.edm" hidden="1">#REF!</definedName>
    <definedName name="_bdm.9F2847F01BCB4985AC61810F393A456C.edm" hidden="1">#REF!</definedName>
    <definedName name="_bdm.9f3b6cd69c654280acdbc4f088c160d3.edm" hidden="1">#REF!</definedName>
    <definedName name="_bdm.A76C27BA83544A40BB52C978715C2DFF.edm" hidden="1">#REF!</definedName>
    <definedName name="_bdm.ac8536f4dc254dcba0f5a15932046754.edm" hidden="1">#REF!</definedName>
    <definedName name="_bdm.ace2d4ecaf2a401c92972af038afd41e.edm" hidden="1">#REF!</definedName>
    <definedName name="_bdm.ae76c936582649f8a203df5f6ea4d560.edm" hidden="1">#REF!</definedName>
    <definedName name="_bdm.AE9843FD83204953B7B7A7100888BE52.edm" hidden="1">#REF!</definedName>
    <definedName name="_bdm.AF0C7C1E85ED4CF48A608600F1754C15.edm" hidden="1">#REF!</definedName>
    <definedName name="_bdm.AF0DB302AB1C4B348A9F5D9B58E2056E.edm" hidden="1">#REF!</definedName>
    <definedName name="_bdm.b24a11e8139740adb78a681274de3e59.edm" hidden="1">#REF!</definedName>
    <definedName name="_bdm.B6928D8BE7EF452EAC65BF243EE0293B.edm" hidden="1">#REF!</definedName>
    <definedName name="_bdm.B76BD2C0816D446E90BD5C59EE30C721.edm" hidden="1">#REF!</definedName>
    <definedName name="_bdm.b7cb8081bdb141b58dd6b7cab3aa70ad.edm" hidden="1">#REF!</definedName>
    <definedName name="_bdm.B86538BCF91B49C782C25EB31B280E5E.edm" hidden="1">#REF!</definedName>
    <definedName name="_bdm.BAA454EF86784CCEAC5D73BBE204F4D6.edm" hidden="1">[2]Debt!$A:$IV</definedName>
    <definedName name="_bdm.babce2071eba482e884dbebca6be890d.edm" hidden="1">#REF!</definedName>
    <definedName name="_bdm.bcf6e0de18704233a88cb710b1194134.edm" hidden="1">#REF!</definedName>
    <definedName name="_bdm.C9F56AD820964F5FA37F81E1B8B76998.edm" hidden="1">#REF!</definedName>
    <definedName name="_bdm.CF13849C6E3942AD8DCC8EF017E14E94.edm" hidden="1">#REF!</definedName>
    <definedName name="_bdm.D0C44CE54D664C5A9112C622526CB40B.edm" hidden="1">#REF!</definedName>
    <definedName name="_bdm.d3e86ac42cf9453ea2a2638981431148.edm" hidden="1">#REF!</definedName>
    <definedName name="_bdm.D3EBACD0D579463CBF8AAF5B8DF9DD38.edm" hidden="1">#REF!</definedName>
    <definedName name="_bdm.D606416BB5984267A18FF02EA785B9A0.edm" hidden="1">#REF!</definedName>
    <definedName name="_bdm.D9F21EB9643C47DEBE72A869F9D05CC0.edm" hidden="1">#REF!</definedName>
    <definedName name="_bdm.DB8C7FF0605F45D1BBA47CD5FCDC883A.edm" hidden="1">#REF!</definedName>
    <definedName name="_bdm.DBA0269C29C2499BAC77DC4F2EB158AC.edm" hidden="1">#REF!</definedName>
    <definedName name="_bdm.dc5d85aaad1245a5a4922309616c6905.edm" hidden="1">#REF!</definedName>
    <definedName name="_bdm.DD39B1C775F349C3817970139E05A05B.edm" hidden="1">#REF!</definedName>
    <definedName name="_bdm.ddd7686115d641319e1c250de7ad4cb9.edm" hidden="1">#REF!</definedName>
    <definedName name="_bdm.e42c4c9db0c849a0a8a3cac9e9001c32.edm" hidden="1">#REF!</definedName>
    <definedName name="_bdm.e79931cd227c438f8a16ba354e80295a.edm" hidden="1">#REF!</definedName>
    <definedName name="_bdm.e7b60b5ac1f44a67a23f1548ca2223e6.edm" hidden="1">#REF!</definedName>
    <definedName name="_bdm.e9eec38abb1e4a5c82d1350f5a81c84f.edm" localSheetId="1" hidden="1">DCF!$C$41:$O$64</definedName>
    <definedName name="_bdm.eae2ae74dcce482ead13908fd3396bce.edm" hidden="1">#REF!</definedName>
    <definedName name="_bdm.f0ff2b8f9e41480fb6548e415923c37e.edm" hidden="1">#REF!</definedName>
    <definedName name="_bdm.f32ffa4f42194552983833c90664ff20.edm" hidden="1">#REF!</definedName>
    <definedName name="_bdm.F3340689AEE9456689083E2223046E26.edm" hidden="1">#REF!</definedName>
    <definedName name="_bdm.F33F57876288493A9BD6B8C06F4AFD5B.edm" hidden="1">#REF!</definedName>
    <definedName name="_bdm.F8ADFED2403C43A7A50EFAABCD468D26.edm" hidden="1">#REF!</definedName>
    <definedName name="_bdm.fa662d3c53fa424d824712893da95bb7.edm" hidden="1">#REF!</definedName>
    <definedName name="_bdm.FAD14D3B5631472ABC545E9F54E0158B.edm" hidden="1">#REF!</definedName>
    <definedName name="_bdm.fae2fab616fe40de9cb806a6a8f10eee.edm" hidden="1">#REF!</definedName>
    <definedName name="_bdm.ff862d760a294da09b18a05a2728b9d5.edm" hidden="1">#REF!</definedName>
    <definedName name="_bdm.ffc47e7bf29d4f75b79707dbd8348526.edm" hidden="1">#REF!</definedName>
    <definedName name="_c" hidden="1">#REF!</definedName>
    <definedName name="_c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T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Fill" hidden="1">#REF!</definedName>
    <definedName name="_Order1" hidden="1">0</definedName>
    <definedName name="_Order2" hidden="1">0</definedName>
    <definedName name="_Order3" hidden="1">255</definedName>
    <definedName name="_sd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sn2">[3]Overview!$B$20</definedName>
    <definedName name="_tla2">[3]Overview!$B$15</definedName>
    <definedName name="_tlb2">[3]Overview!$B$17</definedName>
    <definedName name="_wvu1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a" hidden="1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ilityToPayCalc">[0]!AbilityToPayCalc</definedName>
    <definedName name="AccessDatabase" hidden="1">"C:\DATA\Kevin\Kevin's Model.mdb"</definedName>
    <definedName name="ag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mortY">[3]Ctrls!$S$23</definedName>
    <definedName name="anscount" hidden="1">3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b" hidden="1">#N/A</definedName>
    <definedName name="BaseRate">[3]Ctrls!$L$31</definedName>
    <definedName name="BBBNCH2" hidden="1">{#N/A,#N/A,FALSE,"DCF Summary";#N/A,#N/A,FALSE,"Casema";#N/A,#N/A,FALSE,"Casema NoTel";#N/A,#N/A,FALSE,"UK";#N/A,#N/A,FALSE,"RCF";#N/A,#N/A,FALSE,"Intercable CZ";#N/A,#N/A,FALSE,"Interkabel P"}</definedName>
    <definedName name="BBBNCH3" hidden="1">{#N/A,#N/A,FALSE,"DCF Summary";#N/A,#N/A,FALSE,"Casema";#N/A,#N/A,FALSE,"Casema NoTel";#N/A,#N/A,FALSE,"UK";#N/A,#N/A,FALSE,"RCF";#N/A,#N/A,FALSE,"Intercable CZ";#N/A,#N/A,FALSE,"Interkabel P"}</definedName>
    <definedName name="BBBNCHH" hidden="1">{#N/A,#N/A,TRUE,"DCF Summary";#N/A,#N/A,TRUE,"Casema";#N/A,#N/A,TRUE,"UK";#N/A,#N/A,TRUE,"RCF";#N/A,#N/A,TRUE,"Intercable CZ";#N/A,#N/A,TRUE,"Interkabel P";#N/A,#N/A,TRUE,"LBO-Total";#N/A,#N/A,TRUE,"LBO-Casema"}</definedName>
    <definedName name="BBBNCHVC" hidden="1">{#N/A,#N/A,FALSE,"DCF Summary";#N/A,#N/A,FALSE,"Casema";#N/A,#N/A,FALSE,"Casema NoTel";#N/A,#N/A,FALSE,"UK";#N/A,#N/A,FALSE,"RCF";#N/A,#N/A,FALSE,"Intercable CZ";#N/A,#N/A,FALSE,"Interkabel P"}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7" hidden="1">#REF!</definedName>
    <definedName name="BLPH8" hidden="1">#REF!</definedName>
    <definedName name="BLPH9" hidden="1">#REF!</definedName>
    <definedName name="CAGR_End">[4]Control!$C$20</definedName>
    <definedName name="CAGR_Start">[4]Control!$C$19</definedName>
    <definedName name="CapexDraw">[3]Ctrls!$L$8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B3A151_opts" hidden="1">"1, 10, 1, False, 2, False, False, , 0, False, True,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55036A2_opts" hidden="1">"1, 1, 1, False, 2, True, False, , 0, False, False,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5372A5_opts" hidden="1">"1, 5, 1, False, 2, False, False, , 0, False, False,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41E9A35_opts" hidden="1">"1, 9, 1, False, 2, False, False, , 0, False, True,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-1051152186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hangename" hidden="1">{#N/A,#N/A,FALSE,"Assessment";#N/A,#N/A,FALSE,"Staffing";#N/A,#N/A,FALSE,"Hires";#N/A,#N/A,FALSE,"Assumptions"}</definedName>
    <definedName name="common">[4]Control!$C$11</definedName>
    <definedName name="Company">[3]Ctrls!$D$8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reate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urrency">[3]Ctrls!$D$13</definedName>
    <definedName name="custom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ta">'[4]Data Buildout'!$B$461:$BE$1141</definedName>
    <definedName name="Data_Col_Refs">'[4]Data Buildout'!$B$461:$B$1141</definedName>
    <definedName name="DATE">[4]Control!$C$12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1Chem" hidden="1">{#N/A,#N/A,FALSE,"DCF Summary";#N/A,#N/A,FALSE,"Casema";#N/A,#N/A,FALSE,"Casema NoTel";#N/A,#N/A,FALSE,"UK";#N/A,#N/A,FALSE,"RCF";#N/A,#N/A,FALSE,"Intercable CZ";#N/A,#N/A,FALSE,"Interkabel P"}</definedName>
    <definedName name="DCF1Eng" hidden="1">{#N/A,#N/A,FALSE,"DCF Summary";#N/A,#N/A,FALSE,"Casema";#N/A,#N/A,FALSE,"Casema NoTel";#N/A,#N/A,FALSE,"UK";#N/A,#N/A,FALSE,"RCF";#N/A,#N/A,FALSE,"Intercable CZ";#N/A,#N/A,FALSE,"Interkabel P"}</definedName>
    <definedName name="DCF1Gen" hidden="1">{#N/A,#N/A,FALSE,"DCF Summary";#N/A,#N/A,FALSE,"Casema";#N/A,#N/A,FALSE,"Casema NoTel";#N/A,#N/A,FALSE,"UK";#N/A,#N/A,FALSE,"RCF";#N/A,#N/A,FALSE,"Intercable CZ";#N/A,#N/A,FALSE,"Interkabel P"}</definedName>
    <definedName name="DCFChem" hidden="1">{#N/A,#N/A,FALSE,"DCF Summary";#N/A,#N/A,FALSE,"Casema";#N/A,#N/A,FALSE,"Casema NoTel";#N/A,#N/A,FALSE,"UK";#N/A,#N/A,FALSE,"RCF";#N/A,#N/A,FALSE,"Intercable CZ";#N/A,#N/A,FALSE,"Interkabel P"}</definedName>
    <definedName name="DCFEng" hidden="1">{#N/A,#N/A,FALSE,"DCF Summary";#N/A,#N/A,FALSE,"Casema";#N/A,#N/A,FALSE,"Casema NoTel";#N/A,#N/A,FALSE,"UK";#N/A,#N/A,FALSE,"RCF";#N/A,#N/A,FALSE,"Intercable CZ";#N/A,#N/A,FALSE,"Interkabel P"}</definedName>
    <definedName name="DCFGen" hidden="1">{#N/A,#N/A,FALSE,"DCF Summary";#N/A,#N/A,FALSE,"Casema";#N/A,#N/A,FALSE,"Casema NoTel";#N/A,#N/A,FALSE,"UK";#N/A,#N/A,FALSE,"RCF";#N/A,#N/A,FALSE,"Intercable CZ";#N/A,#N/A,FALSE,"Interkabel P"}</definedName>
    <definedName name="DebtScen">[3]Overview!$G$5</definedName>
    <definedName name="dfafa" hidden="1">Main.SAPF4Help()</definedName>
    <definedName name="dfsdfdsf" hidden="1">{#N/A,#N/A,FALSE,"DCF Summary";#N/A,#N/A,FALSE,"Casema";#N/A,#N/A,FALSE,"Casema NoTel";#N/A,#N/A,FALSE,"UK";#N/A,#N/A,FALSE,"RCF";#N/A,#N/A,FALSE,"Intercable CZ";#N/A,#N/A,FALSE,"Interkabel P"}</definedName>
    <definedName name="DividendRule">[3]Overview!$Y$75</definedName>
    <definedName name="DT1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{#N/A,#N/A,TRUE,"Cover sheet";#N/A,#N/A,TRUE,"DCF analysis";#N/A,#N/A,TRUE,"WACC calculation"}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v.Calculation" hidden="1">-4135</definedName>
    <definedName name="ev.Initialized" hidden="1">FALSE</definedName>
    <definedName name="EV__LASTREFTIME__" hidden="1">39827.5962384259</definedName>
    <definedName name="Finance">[3]Overview!$B$21</definedName>
    <definedName name="FRN">[3]Overview!$B$27</definedName>
    <definedName name="g" hidden="1">{#N/A,#N/A,TRUE,"Cover sheet";#N/A,#N/A,TRUE,"DCF analysis";#N/A,#N/A,TRUE,"WACC calculation"}</definedName>
    <definedName name="GG" hidden="1">{#N/A,#N/A,TRUE,"Cover sheet";#N/A,#N/A,TRUE,"DCF analysis";#N/A,#N/A,TRUE,"WACC calculation"}</definedName>
    <definedName name="Header">[3]Ctrls!$D$11</definedName>
    <definedName name="hn.ModelVersion" hidden="1">1</definedName>
    <definedName name="hn.NoUpload" hidden="1">0</definedName>
    <definedName name="HOME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Y">[3]Overview!$B$26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"business development"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40016.4641898148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S" hidden="1">"c2119"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hjklhjkl">#N/A</definedName>
    <definedName name="KKK" hidden="1">{#N/A,#N/A,FALSE,"Assessment";#N/A,#N/A,FALSE,"Staffing";#N/A,#N/A,FALSE,"Hires";#N/A,#N/A,FALSE,"Assumptions"}</definedName>
    <definedName name="l">#N/A</definedName>
    <definedName name="Libor">[3]Ctrls!$T$8</definedName>
    <definedName name="limcount" hidden="1">1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TM">[5]Controls!$C$24</definedName>
    <definedName name="ma">#N/A</definedName>
    <definedName name="mACROS.Info">#N/A</definedName>
    <definedName name="margingr">[3]Ret3!$E$15</definedName>
    <definedName name="mathsiadfd">#N/A</definedName>
    <definedName name="Mezz">[3]Overview!$B$25</definedName>
    <definedName name="Model">[3]Ctrls!$D$27</definedName>
    <definedName name="NA">"NA "</definedName>
    <definedName name="NM">"NM  "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ther">[3]Overview!$B$28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IK">[3]Overview!$B$30</definedName>
    <definedName name="PIKlife">[3]Ctrls!$L$17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Scenario">#REF!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uarter">[3]Ctrls!$E$20</definedName>
    <definedName name="RemainYear">[3]Ctrls!$E$21</definedName>
    <definedName name="resources" hidden="1">{#N/A,#N/A,FALSE,"Assessment";#N/A,#N/A,FALSE,"Staffing";#N/A,#N/A,FALSE,"Hires";#N/A,#N/A,FALSE,"Assumptions"}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un">#N/A</definedName>
    <definedName name="salesgr">[3]Ret3!$E$14</definedName>
    <definedName name="SAPFuncF4Help" hidden="1">Main.SAPF4Help()</definedName>
    <definedName name="Scen">[3]Ctrls!$D$30</definedName>
    <definedName name="ScenName">[3]Ctrls!$E$30</definedName>
    <definedName name="ScenTabName">[3]Ctrls!$Q$41</definedName>
    <definedName name="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ncount" hidden="1">1</definedName>
    <definedName name="SL">[3]Overview!$B$33</definedName>
    <definedName name="sName">#N/A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6</definedName>
    <definedName name="solver_nwt" hidden="1">1</definedName>
    <definedName name="solver_pre" hidden="1">0.000001</definedName>
    <definedName name="solver_rel1" hidden="1">2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hs1" hidden="1">3600</definedName>
    <definedName name="solver_rhs2" hidden="1">9770</definedName>
    <definedName name="solver_rhs3" hidden="1">660</definedName>
    <definedName name="solver_rhs4" hidden="1">5320</definedName>
    <definedName name="solver_rhs5" hidden="1">214</definedName>
    <definedName name="solver_rhs6" hidden="1">350</definedName>
    <definedName name="solver_scl" hidden="1">0</definedName>
    <definedName name="solver_sho" hidden="1">0</definedName>
    <definedName name="solver_tim" hidden="1">200</definedName>
    <definedName name="solver_tmp" hidden="1">350</definedName>
    <definedName name="solver_tol" hidden="1">0.05</definedName>
    <definedName name="solver_typ" hidden="1">3</definedName>
    <definedName name="solver_val" hidden="1">74233</definedName>
    <definedName name="Spaces">"      "</definedName>
    <definedName name="spi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" hidden="1">#N/A</definedName>
    <definedName name="Spider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N">[3]Overview!$B$19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rip_Hardcodes">#REF!</definedName>
    <definedName name="stub">[3]Ctrls!$D$53</definedName>
    <definedName name="Sweep">[3]Ctrls!$L$29</definedName>
    <definedName name="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hidden="1">{TRUE,TRUE,-1.25,-0.5,597.75,370.5,FALSE,FALSE,TRUE,TRUE,0,1,10,25,26,0.826923076923077,1,1,TRUE,TRUE,1,TRUE,1,FALSE,100,"Swvu.yearly.","ACwvu.yearly.",1,FALSE,FALSE,0.748031496062992,0.748031496062992,0.984251968503937,0.984251968503937,1,"","Page &amp;p",FALSE,FALSE,FALSE,FALSE,1,70,#N/A,#N/A,"=R25C10:R89C19","=C1","Rwvu.yearly.",#N/A,FALSE,FALSE}</definedName>
    <definedName name="the_caller">#N/A</definedName>
    <definedName name="TLA">[3]Overview!$B$14</definedName>
    <definedName name="TLB">[3]Overview!$B$16</definedName>
    <definedName name="TLC">[3]Overview!$B$18</definedName>
    <definedName name="TLD">[3]Overview!$B$23</definedName>
    <definedName name="trdate">[3]Ctrls!$E$22</definedName>
    <definedName name="TrYear">[3]Ctrls!$E$19</definedName>
    <definedName name="turnemoff">#N/A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nits">[3]Ctrls!$D$14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aluation">[3]Ctrls!$D$45</definedName>
    <definedName name="Vendor">[3]Overview!$B$32</definedName>
    <definedName name="vg" hidden="1">{#N/A,#N/A,TRUE,"Cover sheet";#N/A,#N/A,TRUE,"DCF analysis";#N/A,#N/A,TRUE,"WACC calculation"}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irelessGroup">#N/A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Coded._.IAS._.FS." hidden="1">{"IASTrail",#N/A,FALSE,"IAS"}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Chem" hidden="1">{#N/A,#N/A,TRUE,"DCF Summary";#N/A,#N/A,TRUE,"Casema";#N/A,#N/A,TRUE,"UK";#N/A,#N/A,TRUE,"RCF";#N/A,#N/A,TRUE,"Intercable CZ";#N/A,#N/A,TRUE,"Interkabel P";#N/A,#N/A,TRUE,"LBO-Total";#N/A,#N/A,TRUE,"LBO-Casema"}</definedName>
    <definedName name="wrn.Complete.Eng" hidden="1">{#N/A,#N/A,TRUE,"DCF Summary";#N/A,#N/A,TRUE,"Casema";#N/A,#N/A,TRUE,"UK";#N/A,#N/A,TRUE,"RCF";#N/A,#N/A,TRUE,"Intercable CZ";#N/A,#N/A,TRUE,"Interkabel P";#N/A,#N/A,TRUE,"LBO-Total";#N/A,#N/A,TRUE,"LBO-Casema"}</definedName>
    <definedName name="wrn.Complete.Gen" hidden="1">{#N/A,#N/A,TRUE,"DCF Summary";#N/A,#N/A,TRUE,"Casema";#N/A,#N/A,TRUE,"UK";#N/A,#N/A,TRUE,"RCF";#N/A,#N/A,TRUE,"Intercable CZ";#N/A,#N/A,TRUE,"Interkabel P";#N/A,#N/A,TRUE,"LBO-Total";#N/A,#N/A,TRUE,"LBO-Casema"}</definedName>
    <definedName name="wrn.David." hidden="1">{#N/A,#N/A,TRUE,"Ctrls";#N/A,#N/A,TRUE,"Scen";#N/A,#N/A,TRUE,"Comparison";#N/A,#N/A,TRUE,"TS";#N/A,#N/A,TRUE,"IS";#N/A,#N/A,TRUE,"BS";#N/A,#N/A,TRUE,"CF";#N/A,#N/A,TRUE,"LBOX prem.adapt.";#N/A,#N/A,TRUE,"Summary ";#N/A,#N/A,TRUE,"DCF_5";#N/A,#N/A,TRUE,"Comps";#N/A,#N/A,TRUE,"Premium Analysis.prem.adapt";#N/A,#N/A,TRUE,"Pensions";#N/A,#N/A,TRUE,"Debt";#N/A,#N/A,TRUE,"Depr";#N/A,#N/A,TRUE,"Returns"}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Eng" hidden="1">{#N/A,#N/A,FALSE,"DCF Summary";#N/A,#N/A,FALSE,"Casema";#N/A,#N/A,FALSE,"Casema NoTel";#N/A,#N/A,FALSE,"UK";#N/A,#N/A,FALSE,"RCF";#N/A,#N/A,FALSE,"Intercable CZ";#N/A,#N/A,FALSE,"Interkabel P"}</definedName>
    <definedName name="wrn.DCF._.Only.Gen" hidden="1">{#N/A,#N/A,FALSE,"DCF Summary";#N/A,#N/A,FALSE,"Casema";#N/A,#N/A,FALSE,"Casema NoTel";#N/A,#N/A,FALSE,"UK";#N/A,#N/A,FALSE,"RCF";#N/A,#N/A,FALSE,"Intercable CZ";#N/A,#N/A,FALSE,"Interkabel P"}</definedName>
    <definedName name="wrn.DCF._Only.Chem" hidden="1">{#N/A,#N/A,FALSE,"DCF Summary";#N/A,#N/A,FALSE,"Casema";#N/A,#N/A,FALSE,"Casema NoTel";#N/A,#N/A,FALSE,"UK";#N/A,#N/A,FALSE,"RCF";#N/A,#N/A,FALSE,"Intercable CZ";#N/A,#N/A,FALSE,"Interkabel 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SA._.BS._.and._.PL." hidden="1">{"BS1",#N/A,TRUE,"RSA_FS";"BS2",#N/A,TRUE,"RSA_FS";"BS3",#N/A,TRUE,"RSA_FS"}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vu.all." hidden="1">{TRUE,TRUE,-1.25,-0.5,597.75,370.5,FALSE,FALSE,TRUE,TRUE,0,1,10,25,69,0.826923076923077,1,2,TRUE,TRUE,1,TRUE,1,FALSE,100,"Swvu.all.","ACwvu.all.",1,FALSE,FALSE,0.748031496062992,0.748031496062992,0.984251968503937,0.984251968503937,1,"","Page &amp;p",FALSE,FALSE,FALSE,FALSE,1,70,#N/A,#N/A,"=R25C10:R89C17","=C1","Rwvu.all.",#N/A,FALSE,FALSE}</definedName>
    <definedName name="wvu.rollinghalfyear.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wvu.yearly." hidden="1">{TRUE,TRUE,-1.25,-0.5,597.75,370.5,FALSE,FALSE,TRUE,TRUE,0,1,10,25,26,0.826923076923077,1,1,TRUE,TRUE,1,TRUE,1,FALSE,100,"Swvu.yearly.","ACwvu.yearly.",1,FALSE,FALSE,0.748031496062992,0.748031496062992,0.984251968503937,0.984251968503937,1,"","Page &amp;p",FALSE,FALSE,FALSE,FALSE,1,70,#N/A,#N/A,"=R25C10:R89C19","=C1","Rwvu.yearly.",#N/A,FALSE,FALSE}</definedName>
    <definedName name="wvu1.all" hidden="1">{TRUE,TRUE,-1.25,-0.5,597.75,370.5,FALSE,FALSE,TRUE,TRUE,0,1,10,25,69,0.826923076923077,1,2,TRUE,TRUE,1,TRUE,1,FALSE,100,"Swvu.all.","ACwvu.all.",1,FALSE,FALSE,0.748031496062992,0.748031496062992,0.984251968503937,0.984251968503937,1,"","Page &amp;p",FALSE,FALSE,FALSE,FALSE,1,70,#N/A,#N/A,"=R25C10:R89C17","=C1","Rwvu.all.",#N/A,FALSE,FALSE}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xxx" hidden="1">{#N/A,#N/A,TRUE,"Cover sheet";#N/A,#N/A,TRUE,"DCF analysis";#N/A,#N/A,TRUE,"WACC calculation"}</definedName>
    <definedName name="y" hidden="1">#N/A</definedName>
    <definedName name="YearEnd">[3]Ctrls!$D$10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3" i="10" l="1"/>
  <c r="E23" i="10"/>
  <c r="J44" i="8"/>
  <c r="F7" i="10" l="1"/>
  <c r="F8" i="10"/>
  <c r="E8" i="10"/>
  <c r="E7" i="10"/>
  <c r="E10" i="10" s="1"/>
  <c r="K28" i="8"/>
  <c r="L28" i="8" s="1"/>
  <c r="M28" i="8" s="1"/>
  <c r="N28" i="8" s="1"/>
  <c r="F10" i="10" l="1"/>
  <c r="E9" i="8"/>
  <c r="J54" i="8" s="1"/>
  <c r="K40" i="8"/>
  <c r="L40" i="8" s="1"/>
  <c r="M40" i="8" s="1"/>
  <c r="N40" i="8" s="1"/>
  <c r="N54" i="8" s="1"/>
  <c r="M54" i="8" l="1"/>
  <c r="K54" i="8"/>
  <c r="L54" i="8"/>
  <c r="E41" i="8"/>
  <c r="F17" i="8"/>
  <c r="F41" i="8" s="1"/>
  <c r="F46" i="8"/>
  <c r="F47" i="8" s="1"/>
  <c r="G46" i="8"/>
  <c r="G47" i="8" s="1"/>
  <c r="H46" i="8"/>
  <c r="H47" i="8" s="1"/>
  <c r="I46" i="8"/>
  <c r="F51" i="8"/>
  <c r="G51" i="8"/>
  <c r="H51" i="8"/>
  <c r="I51" i="8"/>
  <c r="F52" i="8"/>
  <c r="G52" i="8"/>
  <c r="E52" i="8"/>
  <c r="E51" i="8"/>
  <c r="E46" i="8"/>
  <c r="E47" i="8" s="1"/>
  <c r="J20" i="8"/>
  <c r="G8" i="10" s="1"/>
  <c r="J18" i="8"/>
  <c r="K26" i="8"/>
  <c r="K21" i="8"/>
  <c r="L21" i="8" s="1"/>
  <c r="M21" i="8" s="1"/>
  <c r="N21" i="8" s="1"/>
  <c r="M19" i="8"/>
  <c r="N19" i="8" s="1"/>
  <c r="F19" i="8"/>
  <c r="G19" i="8"/>
  <c r="H19" i="8"/>
  <c r="I19" i="8"/>
  <c r="F21" i="8"/>
  <c r="G21" i="8"/>
  <c r="H21" i="8"/>
  <c r="I21" i="8"/>
  <c r="E22" i="8"/>
  <c r="E24" i="8" s="1"/>
  <c r="F22" i="8"/>
  <c r="F24" i="8" s="1"/>
  <c r="G22" i="8"/>
  <c r="G24" i="8" s="1"/>
  <c r="H22" i="8"/>
  <c r="I22" i="8"/>
  <c r="E27" i="8"/>
  <c r="E50" i="8" s="1"/>
  <c r="F27" i="8"/>
  <c r="G27" i="8"/>
  <c r="H27" i="8"/>
  <c r="I27" i="8"/>
  <c r="F30" i="8"/>
  <c r="G30" i="8"/>
  <c r="H30" i="8"/>
  <c r="I30" i="8"/>
  <c r="L26" i="8" l="1"/>
  <c r="L44" i="8" s="1"/>
  <c r="K44" i="8"/>
  <c r="K18" i="8"/>
  <c r="H7" i="10" s="1"/>
  <c r="G7" i="10"/>
  <c r="G10" i="10" s="1"/>
  <c r="I28" i="8"/>
  <c r="J27" i="8"/>
  <c r="H28" i="8"/>
  <c r="G50" i="8"/>
  <c r="G28" i="8"/>
  <c r="F50" i="8"/>
  <c r="F28" i="8"/>
  <c r="H26" i="8"/>
  <c r="H50" i="8"/>
  <c r="I47" i="8"/>
  <c r="I26" i="8"/>
  <c r="I50" i="8"/>
  <c r="G17" i="8"/>
  <c r="H17" i="8" s="1"/>
  <c r="I17" i="8" s="1"/>
  <c r="J17" i="8" s="1"/>
  <c r="K17" i="8" s="1"/>
  <c r="L17" i="8" s="1"/>
  <c r="M17" i="8" s="1"/>
  <c r="N17" i="8" s="1"/>
  <c r="N41" i="8" s="1"/>
  <c r="F26" i="8"/>
  <c r="H23" i="8"/>
  <c r="G23" i="8"/>
  <c r="I23" i="8"/>
  <c r="G26" i="8"/>
  <c r="J22" i="8"/>
  <c r="J42" i="8" s="1"/>
  <c r="K20" i="8"/>
  <c r="H24" i="8"/>
  <c r="E26" i="8"/>
  <c r="I24" i="8"/>
  <c r="F23" i="8"/>
  <c r="K27" i="8" l="1"/>
  <c r="J45" i="8"/>
  <c r="M26" i="8"/>
  <c r="M44" i="8" s="1"/>
  <c r="L18" i="8"/>
  <c r="I7" i="10" s="1"/>
  <c r="L20" i="8"/>
  <c r="H8" i="10"/>
  <c r="H10" i="10" s="1"/>
  <c r="J36" i="8"/>
  <c r="H35" i="8"/>
  <c r="H52" i="8"/>
  <c r="H53" i="8" s="1"/>
  <c r="I35" i="8"/>
  <c r="I52" i="8"/>
  <c r="I53" i="8" s="1"/>
  <c r="J50" i="8"/>
  <c r="G41" i="8"/>
  <c r="L41" i="8"/>
  <c r="J41" i="8"/>
  <c r="J56" i="8" s="1"/>
  <c r="H41" i="8"/>
  <c r="M41" i="8"/>
  <c r="I41" i="8"/>
  <c r="K41" i="8"/>
  <c r="K22" i="8"/>
  <c r="J25" i="8"/>
  <c r="J43" i="8" s="1"/>
  <c r="J23" i="8"/>
  <c r="N26" i="8"/>
  <c r="N44" i="8" s="1"/>
  <c r="L27" i="8" l="1"/>
  <c r="K45" i="8"/>
  <c r="K25" i="8"/>
  <c r="K43" i="8" s="1"/>
  <c r="K42" i="8"/>
  <c r="L22" i="8"/>
  <c r="L42" i="8" s="1"/>
  <c r="M18" i="8"/>
  <c r="J7" i="10" s="1"/>
  <c r="M20" i="8"/>
  <c r="I8" i="10"/>
  <c r="I10" i="10" s="1"/>
  <c r="J51" i="8"/>
  <c r="K35" i="8"/>
  <c r="K23" i="8"/>
  <c r="K50" i="8"/>
  <c r="K36" i="8"/>
  <c r="J29" i="8"/>
  <c r="J24" i="8"/>
  <c r="M27" i="8" l="1"/>
  <c r="L45" i="8"/>
  <c r="K29" i="8"/>
  <c r="K46" i="8" s="1"/>
  <c r="K47" i="8" s="1"/>
  <c r="K48" i="8" s="1"/>
  <c r="L25" i="8"/>
  <c r="L43" i="8" s="1"/>
  <c r="L23" i="8"/>
  <c r="M22" i="8"/>
  <c r="M42" i="8" s="1"/>
  <c r="K24" i="8"/>
  <c r="N18" i="8"/>
  <c r="K7" i="10" s="1"/>
  <c r="N20" i="8"/>
  <c r="K8" i="10" s="1"/>
  <c r="J8" i="10"/>
  <c r="J10" i="10" s="1"/>
  <c r="J34" i="8"/>
  <c r="J52" i="8" s="1"/>
  <c r="K51" i="8"/>
  <c r="L35" i="8"/>
  <c r="K34" i="8"/>
  <c r="J30" i="8"/>
  <c r="J46" i="8"/>
  <c r="L50" i="8"/>
  <c r="L36" i="8"/>
  <c r="M25" i="8" l="1"/>
  <c r="M43" i="8" s="1"/>
  <c r="M23" i="8"/>
  <c r="N27" i="8"/>
  <c r="N45" i="8" s="1"/>
  <c r="M45" i="8"/>
  <c r="L29" i="8"/>
  <c r="L30" i="8" s="1"/>
  <c r="K30" i="8"/>
  <c r="L24" i="8"/>
  <c r="K49" i="8"/>
  <c r="K10" i="10"/>
  <c r="L10" i="10" s="1"/>
  <c r="N22" i="8"/>
  <c r="N42" i="8" s="1"/>
  <c r="J47" i="8"/>
  <c r="K52" i="8"/>
  <c r="K53" i="8" s="1"/>
  <c r="L51" i="8"/>
  <c r="M50" i="8"/>
  <c r="M36" i="8"/>
  <c r="M35" i="8"/>
  <c r="L34" i="8"/>
  <c r="K56" i="8"/>
  <c r="J57" i="8"/>
  <c r="M29" i="8" l="1"/>
  <c r="M30" i="8" s="1"/>
  <c r="L46" i="8"/>
  <c r="L47" i="8" s="1"/>
  <c r="L48" i="8" s="1"/>
  <c r="M24" i="8"/>
  <c r="K55" i="8"/>
  <c r="J48" i="8"/>
  <c r="N25" i="8"/>
  <c r="N43" i="8" s="1"/>
  <c r="N23" i="8"/>
  <c r="N35" i="8"/>
  <c r="N34" i="8" s="1"/>
  <c r="M34" i="8"/>
  <c r="N36" i="8"/>
  <c r="N50" i="8"/>
  <c r="L52" i="8"/>
  <c r="M51" i="8"/>
  <c r="L56" i="8"/>
  <c r="K57" i="8"/>
  <c r="M46" i="8" l="1"/>
  <c r="M47" i="8" s="1"/>
  <c r="M48" i="8" s="1"/>
  <c r="J49" i="8"/>
  <c r="J53" i="8"/>
  <c r="J55" i="8" s="1"/>
  <c r="J58" i="8" s="1"/>
  <c r="K58" i="8"/>
  <c r="L53" i="8"/>
  <c r="L55" i="8" s="1"/>
  <c r="L49" i="8"/>
  <c r="N29" i="8"/>
  <c r="N24" i="8"/>
  <c r="M52" i="8"/>
  <c r="N51" i="8"/>
  <c r="N52" i="8"/>
  <c r="M56" i="8"/>
  <c r="L57" i="8"/>
  <c r="M53" i="8" l="1"/>
  <c r="M55" i="8" s="1"/>
  <c r="M49" i="8"/>
  <c r="L58" i="8"/>
  <c r="N46" i="8"/>
  <c r="N30" i="8"/>
  <c r="N56" i="8"/>
  <c r="M57" i="8"/>
  <c r="M58" i="8" l="1"/>
  <c r="N47" i="8"/>
  <c r="N48" i="8" s="1"/>
  <c r="O56" i="8"/>
  <c r="O57" i="8" s="1"/>
  <c r="N57" i="8"/>
  <c r="N53" i="8" l="1"/>
  <c r="N55" i="8" s="1"/>
  <c r="O55" i="8" s="1"/>
  <c r="O58" i="8" s="1"/>
  <c r="J62" i="8" s="1"/>
  <c r="N49" i="8"/>
  <c r="N58" i="8" l="1"/>
  <c r="J61" i="8" s="1"/>
  <c r="J63" i="8" s="1"/>
  <c r="J64" i="8" s="1"/>
</calcChain>
</file>

<file path=xl/sharedStrings.xml><?xml version="1.0" encoding="utf-8"?>
<sst xmlns="http://schemas.openxmlformats.org/spreadsheetml/2006/main" count="122" uniqueCount="68">
  <si>
    <t>EBITDA</t>
  </si>
  <si>
    <t>EBIT</t>
  </si>
  <si>
    <t>Assumptions</t>
  </si>
  <si>
    <t>First FY</t>
  </si>
  <si>
    <t>WACC</t>
  </si>
  <si>
    <t>DCF</t>
  </si>
  <si>
    <t>% of sales</t>
  </si>
  <si>
    <t>Unlevered FCF (timed)</t>
  </si>
  <si>
    <t>Mobile net revenue</t>
  </si>
  <si>
    <t>Online net revenue</t>
  </si>
  <si>
    <t>Total net revenue</t>
  </si>
  <si>
    <t>Operating costs</t>
  </si>
  <si>
    <t>Capex</t>
  </si>
  <si>
    <t>Unlevered FCF</t>
  </si>
  <si>
    <t>Tax Rate %</t>
  </si>
  <si>
    <t>x</t>
  </si>
  <si>
    <t>Financials</t>
  </si>
  <si>
    <t>Valuation</t>
  </si>
  <si>
    <t>Growth</t>
  </si>
  <si>
    <t>D&amp;A</t>
  </si>
  <si>
    <t>Margin</t>
  </si>
  <si>
    <t xml:space="preserve">Δ NWC </t>
  </si>
  <si>
    <t>A$m</t>
  </si>
  <si>
    <t>%</t>
  </si>
  <si>
    <t>Citi forecasts</t>
  </si>
  <si>
    <t>Cash flow items</t>
  </si>
  <si>
    <t>A$m, Dec y/e</t>
  </si>
  <si>
    <t>Add D&amp;A</t>
  </si>
  <si>
    <t xml:space="preserve">Less Δ NWC </t>
  </si>
  <si>
    <t>Timing</t>
  </si>
  <si>
    <t>Discount factor</t>
  </si>
  <si>
    <t>Valuation date</t>
  </si>
  <si>
    <t>Terminal value</t>
  </si>
  <si>
    <t>Terminal growth rate</t>
  </si>
  <si>
    <t>Time Share</t>
  </si>
  <si>
    <t>n</t>
  </si>
  <si>
    <t>d</t>
  </si>
  <si>
    <t>CY18 EV / EBITDA</t>
  </si>
  <si>
    <t>Plarium discounted cash flow analysis</t>
  </si>
  <si>
    <t>Revenue growth</t>
  </si>
  <si>
    <t>CY17A</t>
  </si>
  <si>
    <t>CY18A</t>
  </si>
  <si>
    <t>CY19F</t>
  </si>
  <si>
    <t>CY20F</t>
  </si>
  <si>
    <t>CY21F</t>
  </si>
  <si>
    <t>CY22F</t>
  </si>
  <si>
    <t>CY23F</t>
  </si>
  <si>
    <t>Mobile</t>
  </si>
  <si>
    <t>Online</t>
  </si>
  <si>
    <t>Label</t>
  </si>
  <si>
    <t>#</t>
  </si>
  <si>
    <t>Total</t>
  </si>
  <si>
    <t>CAGR</t>
  </si>
  <si>
    <t>Revenue</t>
  </si>
  <si>
    <t>% margin</t>
  </si>
  <si>
    <t>Less D&amp;A</t>
  </si>
  <si>
    <t>NOPAT</t>
  </si>
  <si>
    <t>Discounted TV</t>
  </si>
  <si>
    <t>Valuation summary</t>
  </si>
  <si>
    <t>Transaction / trading comps</t>
  </si>
  <si>
    <t>Blended valuation</t>
  </si>
  <si>
    <t>Year remaining</t>
  </si>
  <si>
    <t>Less tax on EBIT</t>
  </si>
  <si>
    <t>Less capex</t>
  </si>
  <si>
    <t>Discounted cash flows</t>
  </si>
  <si>
    <t>Enterprise value</t>
  </si>
  <si>
    <t>Prometheus discounted cash flow analysis</t>
  </si>
  <si>
    <t>Prometheus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</si>
</sst>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8">
    <numFmt numFmtId="41" formatCode="_ * #,##0_ ;_ * \-#,##0_ ;_ * &quot;-&quot;_ ;_ @_ "/>
    <numFmt numFmtId="43" formatCode="_ * #,##0.00_ ;_ * \-#,##0.00_ ;_ * &quot;-&quot;??_ ;_ @_ "/>
    <numFmt numFmtId="164" formatCode="&quot;$&quot;#,##0_);\(&quot;$&quot;#,##0\)"/>
    <numFmt numFmtId="165" formatCode="&quot;$&quot;#,##0.00_);[Red]\(&quot;$&quot;#,##0.0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&quot;$&quot;#,##0;\-&quot;$&quot;#,##0"/>
    <numFmt numFmtId="171" formatCode="_-* #,##0_-;\-* #,##0_-;_-* &quot;-&quot;_-;_-@_-"/>
    <numFmt numFmtId="172" formatCode="_-* #,##0.00_-;\-* #,##0.00_-;_-* &quot;-&quot;??_-;_-@_-"/>
    <numFmt numFmtId="173" formatCode="_(&quot;S/.&quot;\ * #,##0_);_(&quot;S/.&quot;\ * \(#,##0\);_(&quot;S/.&quot;\ * &quot;-&quot;_);_(@_)"/>
    <numFmt numFmtId="174" formatCode="_(&quot;S/.&quot;\ * #,##0.00_);_(&quot;S/.&quot;\ * \(#,##0.00\);_(&quot;S/.&quot;\ * &quot;-&quot;??_);_(@_)"/>
    <numFmt numFmtId="175" formatCode="#,##0.00_);\(#,##0.00\);&quot;-  &quot;;&quot;  &quot;@"/>
    <numFmt numFmtId="176" formatCode="mmm\ yyyy_);&quot;Error &lt;0  &quot;;dd\ mmm\ yyyy_);&quot;  &quot;@"/>
    <numFmt numFmtId="177" formatCode="dd\ mmm\ yyyy_);&quot;Error &lt;0  &quot;;dd\ mmm\ yyyy_);&quot;  &quot;@"/>
    <numFmt numFmtId="178" formatCode="0.0%"/>
    <numFmt numFmtId="179" formatCode="#,##0.000_);\(#,##0.000\)"/>
    <numFmt numFmtId="180" formatCode="#,##0.0"/>
    <numFmt numFmtId="181" formatCode="mm/dd/yy"/>
    <numFmt numFmtId="182" formatCode="_(* #,##0_);_(* \(#,##0\);_(* &quot;-&quot;??_);_(@_)"/>
    <numFmt numFmtId="183" formatCode="#,##0.000"/>
    <numFmt numFmtId="184" formatCode="0.0000%"/>
    <numFmt numFmtId="185" formatCode="#,##0.0_);\(#,##0.0\)"/>
    <numFmt numFmtId="186" formatCode="0.0000"/>
    <numFmt numFmtId="187" formatCode="#,##0.00;\(#,##0.00\)"/>
    <numFmt numFmtId="188" formatCode="&quot;S/&quot;#,##0;&quot;S/&quot;\-#,##0"/>
    <numFmt numFmtId="189" formatCode="_([$€-2]\ * #,##0.00_);_([$€-2]\ * \(#,##0.00\);_([$€-2]\ * &quot;-&quot;??_)"/>
    <numFmt numFmtId="190" formatCode="0.00_);[Red]\(0.00\)"/>
    <numFmt numFmtId="191" formatCode="0.000_)"/>
    <numFmt numFmtId="192" formatCode="0.000000000E+00;\盌"/>
    <numFmt numFmtId="193" formatCode="#,##0.0;\(#,##0.0\)"/>
    <numFmt numFmtId="194" formatCode="#,##0.0;[Red]#,##0.0"/>
    <numFmt numFmtId="195" formatCode="#,##0;[Red]\(\3#,##0\)"/>
    <numFmt numFmtId="196" formatCode="&quot;x&quot;;&quot;x&quot;;&quot;x&quot;;&quot;x&quot;"/>
    <numFmt numFmtId="197" formatCode="_ * #,##0_ ;_ * \-#,##0_ ;_ * &quot;-&quot;??_ ;_ @_ "/>
    <numFmt numFmtId="198" formatCode="_-* #,##0.00\ _D_M_-;\-* #,##0.00\ _D_M_-;_-* &quot;-&quot;??\ _D_M_-;_-@_-"/>
    <numFmt numFmtId="199" formatCode="_-* #,##0.00000000\ _P_t_s_-;\-* #,##0.00000000\ _P_t_s_-;_-* &quot;-&quot;??\ _P_t_s_-;_-@_-"/>
    <numFmt numFmtId="200" formatCode="_ * #,##0.0000000_ ;_ * \-#,##0.0000000_ ;_ * &quot;-&quot;_ ;_ @_ "/>
    <numFmt numFmtId="201" formatCode="_([$€]* #,##0.00_);_([$€]* \(#,##0.00\);_([$€]* &quot;-&quot;??_);_(@_)"/>
    <numFmt numFmtId="202" formatCode="[$$-409]#,##0.00"/>
    <numFmt numFmtId="203" formatCode="0_);\(0\)"/>
    <numFmt numFmtId="204" formatCode="mmm\-yyyy"/>
    <numFmt numFmtId="205" formatCode="#,##0;\(#,##0\)"/>
    <numFmt numFmtId="206" formatCode="\£\ #,##0_);[Red]\(\£\ #,##0\)"/>
    <numFmt numFmtId="207" formatCode="\¥\ #,##0_);[Red]\(\¥\ #,##0\)"/>
    <numFmt numFmtId="208" formatCode="0.00;[Red]0.00"/>
    <numFmt numFmtId="209" formatCode="00000000"/>
    <numFmt numFmtId="210" formatCode="#,##0\ ;[Red]\(#,##0\);\-"/>
    <numFmt numFmtId="211" formatCode="_(* #,##0_);_(* \(#,##0\);_(* &quot;--- &quot;_)"/>
    <numFmt numFmtId="212" formatCode="_(&quot;$&quot;* #,##0_);_(&quot;$&quot;* \(#,##0\);_(&quot;$&quot;* &quot;--- &quot;_)"/>
    <numFmt numFmtId="213" formatCode="#,##0.0\ ;\(#,##0.0\)"/>
    <numFmt numFmtId="214" formatCode="\•\ \ @"/>
    <numFmt numFmtId="215" formatCode="&quot;$&quot;#,##0.00"/>
    <numFmt numFmtId="216" formatCode="&quot;$&quot;#,##0.0000_);\(&quot;$&quot;#,##0.0000\)"/>
    <numFmt numFmtId="217" formatCode="#,##0_%_);\(#,##0\)_%;#,##0_%_);@_%_)"/>
    <numFmt numFmtId="218" formatCode="&quot;$&quot;#,##0.0_);[Red]\(&quot;$&quot;#,##0.0\)"/>
    <numFmt numFmtId="219" formatCode="&quot;$&quot;#,##0.00;\(&quot;$&quot;#,##0.00\)"/>
    <numFmt numFmtId="220" formatCode="&quot;$&quot;#,##0_%_);\(&quot;$&quot;#,##0\)_%;&quot;$&quot;#,##0_%_);@_%_)"/>
    <numFmt numFmtId="221" formatCode="\ \ _•\–\ \ \ \ @"/>
    <numFmt numFmtId="222" formatCode=";;;"/>
    <numFmt numFmtId="223" formatCode="mmm\-d\-yyyy"/>
    <numFmt numFmtId="224" formatCode="m/d/yy_%_)"/>
    <numFmt numFmtId="225" formatCode="dd\ mmmyy\ hh:mm"/>
    <numFmt numFmtId="226" formatCode="#,##0.0\ \ ;\(#,##0.0\)\ "/>
    <numFmt numFmtId="227" formatCode="0_%_);\(0\)_%;0_%_);@_%_)"/>
    <numFmt numFmtId="228" formatCode="_ [$€]* #,##0.00_ ;_ [$€]* \-#,##0.00_ ;_ [$€]* &quot;-&quot;??_ ;_ @_ "/>
    <numFmt numFmtId="229" formatCode="_([$€-2]* #,##0.00_);_([$€-2]* \(#,##0.00\);_([$€-2]* &quot;-&quot;??_)"/>
    <numFmt numFmtId="230" formatCode="#\ ##0.0"/>
    <numFmt numFmtId="231" formatCode="###0_);\(###0\)"/>
    <numFmt numFmtId="232" formatCode="#,#00"/>
    <numFmt numFmtId="233" formatCode="0.0\%_);\(0.0\%\);0.0\%_);@_%_)"/>
    <numFmt numFmtId="234" formatCode="####"/>
    <numFmt numFmtId="235" formatCode="0.00000000"/>
    <numFmt numFmtId="236" formatCode="#,##0.00&quot;F&quot;_);\(#,##0.00&quot;F&quot;\)"/>
    <numFmt numFmtId="237" formatCode="0\ 000\ 000\ 000"/>
    <numFmt numFmtId="238" formatCode="#,##0.0_);[Red]\(#,##0.0\)"/>
    <numFmt numFmtId="239" formatCode="0.0%;[Red]\(0.0%\)"/>
    <numFmt numFmtId="240" formatCode="_ #,##0.0__\ ;_ \-#,##0.0__\ ;_ \ &quot;-.-&quot;__\ ;_ @__"/>
    <numFmt numFmtId="241" formatCode="_ #,##0.0__\ ;_ \-#,##0.0__\ ;_ \ &quot;-.-&quot;__\ ;_ @\ __"/>
    <numFmt numFmtId="242" formatCode="\$#,##0_);\(\$#,##0\)"/>
    <numFmt numFmtId="243" formatCode="#,##0.00\x;\(#,##0.00\x\)"/>
    <numFmt numFmtId="244" formatCode="0.0\x_)_);&quot;NM&quot;_x_)_);0.0\x_)_);@_%_)"/>
    <numFmt numFmtId="245" formatCode="_(* #,##0.00000_);_(* \(#,##0.00000\);_(* &quot;-&quot;_);_(@_)"/>
    <numFmt numFmtId="246" formatCode="#,##0.000_);[Red]\(#,##0.000\)"/>
    <numFmt numFmtId="247" formatCode="#,##0.0_)\ \ ;[Red]\(#,##0.0\)\ \ "/>
    <numFmt numFmtId="248" formatCode="#,##0.00\x_);[Red]\(#,##0.00\x\);&quot;--  &quot;"/>
    <numFmt numFmtId="249" formatCode="_(* #,##0.00\x_);_(* \(#,##0.00\x\);_(* &quot;-&quot;??_);_(@_)"/>
    <numFmt numFmtId="250" formatCode="_ * #,##0_ ;_ * \-#,##0_ ;_ * &quot;-&quot;_ ;_ @_ \l"/>
    <numFmt numFmtId="251" formatCode="##0%;\(##0%\)"/>
    <numFmt numFmtId="252" formatCode="_(* #,##0.0_);_(* \(#,##0.0\);_(* &quot;-&quot;_);_(@_)"/>
    <numFmt numFmtId="253" formatCode="_-* #,##0.0_-;\-* #,##0.0_-;_-* &quot;-&quot;??_-;_-@_-"/>
    <numFmt numFmtId="254" formatCode="0.00%;\(0.00%\)"/>
    <numFmt numFmtId="255" formatCode="0.0_%"/>
    <numFmt numFmtId="256" formatCode="#,##0.0%;[Red]\(#,##0.0%\)"/>
    <numFmt numFmtId="257" formatCode="_(&quot;$&quot;* #,##0.00\x_);_(&quot;$&quot;* \(#,##0.00\x\);_(&quot;$&quot;* &quot;-&quot;??_);_(@_)"/>
    <numFmt numFmtId="258" formatCode="%#,#00"/>
    <numFmt numFmtId="259" formatCode="#.##000"/>
    <numFmt numFmtId="260" formatCode="0.0%_);\(0.0%\);0.0%_);@_%_)"/>
    <numFmt numFmtId="261" formatCode="&quot;$&quot;#,##0.0_);\(&quot;$&quot;#,##0.0\)"/>
    <numFmt numFmtId="262" formatCode="#,##0.00\x;#,##0.00\x"/>
    <numFmt numFmtId="263" formatCode="#,##0.00_x"/>
    <numFmt numFmtId="264" formatCode="#,##0.00\x"/>
    <numFmt numFmtId="265" formatCode="_ * #,##0.0_ ;[Red]_ * \-#,##0.0_ ;_ * &quot;-&quot;???_ ;_ @_ "/>
    <numFmt numFmtId="266" formatCode="#,"/>
    <numFmt numFmtId="267" formatCode="&quot;$&quot;#\ ?/?"/>
    <numFmt numFmtId="268" formatCode="_(* #,##0.00\x_);_(* \(#,##0.00\x\);_(* &quot;-&quot;_);_(@_)"/>
    <numFmt numFmtId="269" formatCode="General_)"/>
    <numFmt numFmtId="270" formatCode="\£#,##0_);\(\£#,##0\)"/>
    <numFmt numFmtId="271" formatCode="0.00_)"/>
    <numFmt numFmtId="272" formatCode="_ &quot;\&quot;* #,##0_ ;_ &quot;\&quot;* \-#,##0_ ;_ &quot;\&quot;* &quot;-&quot;_ ;_ @_ "/>
    <numFmt numFmtId="273" formatCode="_ &quot;\&quot;* #,##0.00_ ;_ &quot;\&quot;* \-#,##0.00_ ;_ &quot;\&quot;* &quot;-&quot;??_ ;_ @_ "/>
    <numFmt numFmtId="274" formatCode="#,##0.000000&quot; &quot;;\(#,##0.000000\)&quot; &quot;"/>
    <numFmt numFmtId="275" formatCode="_-&quot;$&quot;\ * #,##0.00_-;\-&quot;$&quot;\ * #,##0.00_-;_-&quot;$&quot;\ * &quot;-&quot;??_-;_-@_-"/>
    <numFmt numFmtId="276" formatCode="#."/>
    <numFmt numFmtId="277" formatCode="_-* #,##0.00\ [$€-1]_-;\-* #,##0.00\ [$€-1]_-;_-* &quot;-&quot;??\ [$€-1]_-"/>
    <numFmt numFmtId="278" formatCode="_-[$€-2]\ * #,##0.00_-;\-[$€-2]\ * #,##0.00_-;_-[$€-2]\ * &quot;-&quot;??_-"/>
    <numFmt numFmtId="279" formatCode="#.00"/>
    <numFmt numFmtId="280" formatCode="###\ ###0"/>
    <numFmt numFmtId="281" formatCode="&quot;$&quot;#.00"/>
    <numFmt numFmtId="282" formatCode="&quot;$&quot;#,##0\ ;\(&quot;$&quot;#,##0\)"/>
    <numFmt numFmtId="283" formatCode="_-&quot;£&quot;* #,##0_-;\-&quot;£&quot;* #,##0_-;_-&quot;£&quot;* &quot;-&quot;_-;_-@_-"/>
    <numFmt numFmtId="284" formatCode="#,##0_ ;[Red]\-#,##0\ "/>
    <numFmt numFmtId="285" formatCode="%#.00"/>
    <numFmt numFmtId="286" formatCode="_-* #,##0\ &quot;DM&quot;_-;\-* #,##0\ &quot;DM&quot;_-;_-* &quot;-&quot;\ &quot;DM&quot;_-;_-@_-"/>
    <numFmt numFmtId="287" formatCode="_-* #,##0.00\ &quot;DM&quot;_-;\-* #,##0.00\ &quot;DM&quot;_-;_-* &quot;-&quot;??\ &quot;DM&quot;_-;_-@_-"/>
    <numFmt numFmtId="288" formatCode="#,##0_);\(#,##0\);\-\-_)"/>
    <numFmt numFmtId="289" formatCode="&quot;FY&quot;0&quot;A&quot;"/>
    <numFmt numFmtId="290" formatCode="#,##0%_);\(#,##0%\);#,##0%_);@_%_)"/>
    <numFmt numFmtId="291" formatCode="#,##0.0%_);\(#,##0.0%\);#,##0.0%_);@_%_)"/>
    <numFmt numFmtId="292" formatCode="#,##0.0_);\(#,##0.0\);&quot;-&quot;_)"/>
    <numFmt numFmtId="293" formatCode="#,##0;\(#,##0\);\-"/>
    <numFmt numFmtId="294" formatCode="0.0%;\(0.0%\);\-"/>
    <numFmt numFmtId="295" formatCode="#,##0.00;\(#,##0.00\);\-"/>
    <numFmt numFmtId="296" formatCode="&quot;CY&quot;yy&quot;A&quot;"/>
    <numFmt numFmtId="297" formatCode="&quot;CY&quot;yy&quot;F&quot;"/>
    <numFmt numFmtId="298" formatCode="#,##0.0;\(#,##0.0\);\-"/>
    <numFmt numFmtId="299" formatCode="0.0\x"/>
  </numFmts>
  <fonts count="2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11"/>
      <color indexed="9"/>
      <name val="Arial"/>
      <family val="2"/>
    </font>
    <font>
      <sz val="7"/>
      <color indexed="12"/>
      <name val="Arial"/>
      <family val="2"/>
    </font>
    <font>
      <b/>
      <sz val="7"/>
      <color indexed="12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8"/>
      <color indexed="9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sz val="9"/>
      <name val="LinePrinter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4"/>
      <color indexed="24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Helv"/>
    </font>
    <font>
      <b/>
      <sz val="12"/>
      <color indexed="22"/>
      <name val="Arial"/>
      <family val="2"/>
    </font>
    <font>
      <sz val="12"/>
      <name val="Times New Roman"/>
      <family val="1"/>
    </font>
    <font>
      <sz val="12"/>
      <color indexed="9"/>
      <name val="Helv"/>
    </font>
    <font>
      <sz val="16"/>
      <name val="Arial"/>
      <family val="2"/>
    </font>
    <font>
      <sz val="12"/>
      <name val="Palatino"/>
      <family val="1"/>
    </font>
    <font>
      <sz val="10"/>
      <name val="Palatino"/>
      <family val="1"/>
    </font>
    <font>
      <sz val="11"/>
      <name val="‚l‚r –¾’©"/>
      <charset val="128"/>
    </font>
    <font>
      <sz val="10"/>
      <name val="MS Sans Serif"/>
      <family val="2"/>
    </font>
    <font>
      <sz val="10"/>
      <name val="Tms Rmn"/>
    </font>
    <font>
      <b/>
      <sz val="10"/>
      <color indexed="8"/>
      <name val="Helv"/>
    </font>
    <font>
      <b/>
      <sz val="14"/>
      <color indexed="8"/>
      <name val="Helv"/>
    </font>
    <font>
      <sz val="10"/>
      <color indexed="8"/>
      <name val="Helv"/>
    </font>
    <font>
      <b/>
      <sz val="10"/>
      <color indexed="24"/>
      <name val="Arial"/>
      <family val="2"/>
    </font>
    <font>
      <sz val="8"/>
      <name val="Helv"/>
    </font>
    <font>
      <b/>
      <sz val="8"/>
      <color indexed="8"/>
      <name val="Helv"/>
    </font>
    <font>
      <b/>
      <sz val="10"/>
      <name val="Times New Roman"/>
      <family val="1"/>
    </font>
    <font>
      <u val="double"/>
      <sz val="8"/>
      <color indexed="8"/>
      <name val="Arial"/>
      <family val="2"/>
    </font>
    <font>
      <b/>
      <sz val="9"/>
      <color indexed="10"/>
      <name val="Wingdings"/>
      <charset val="2"/>
    </font>
    <font>
      <sz val="11"/>
      <color indexed="8"/>
      <name val="Calibri"/>
      <family val="2"/>
    </font>
    <font>
      <b/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name val="Helv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i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b/>
      <i/>
      <sz val="22"/>
      <color indexed="15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2"/>
      <color indexed="14"/>
      <name val="Arial"/>
      <family val="2"/>
    </font>
    <font>
      <b/>
      <i/>
      <sz val="20"/>
      <color indexed="15"/>
      <name val="Arial"/>
      <family val="2"/>
    </font>
    <font>
      <sz val="9"/>
      <color theme="1"/>
      <name val="Arial"/>
      <family val="2"/>
    </font>
    <font>
      <sz val="10"/>
      <name val="Helv"/>
      <family val="2"/>
    </font>
    <font>
      <b/>
      <sz val="12"/>
      <name val="Tms Rmn"/>
    </font>
    <font>
      <b/>
      <u/>
      <sz val="10"/>
      <name val="Arial"/>
      <family val="2"/>
    </font>
    <font>
      <sz val="10"/>
      <name val="Formata Regular"/>
      <family val="2"/>
    </font>
    <font>
      <i/>
      <sz val="9"/>
      <name val="Helv"/>
      <family val="2"/>
    </font>
    <font>
      <i/>
      <sz val="9"/>
      <name val="Helvetica"/>
      <family val="2"/>
    </font>
    <font>
      <sz val="10"/>
      <color indexed="8"/>
      <name val="MS Sans Serif"/>
      <family val="2"/>
    </font>
    <font>
      <sz val="8"/>
      <name val="Antique Olive"/>
      <family val="2"/>
    </font>
    <font>
      <sz val="8"/>
      <name val="Geneva"/>
      <family val="2"/>
    </font>
    <font>
      <b/>
      <sz val="16"/>
      <color indexed="9"/>
      <name val="Arial"/>
      <family val="2"/>
    </font>
    <font>
      <b/>
      <u/>
      <sz val="12"/>
      <color indexed="10"/>
      <name val="Arial"/>
      <family val="2"/>
    </font>
    <font>
      <b/>
      <sz val="10"/>
      <color indexed="32"/>
      <name val="Arial"/>
      <family val="2"/>
    </font>
    <font>
      <sz val="10"/>
      <color indexed="12"/>
      <name val="Times New Roman"/>
      <family val="1"/>
    </font>
    <font>
      <sz val="8"/>
      <color indexed="12"/>
      <name val="Helv"/>
    </font>
    <font>
      <sz val="10"/>
      <name val="Geneva"/>
      <family val="2"/>
    </font>
    <font>
      <sz val="9"/>
      <name val="Tahoma"/>
      <family val="2"/>
    </font>
    <font>
      <b/>
      <sz val="12"/>
      <color indexed="61"/>
      <name val="Tahoma"/>
      <family val="2"/>
    </font>
    <font>
      <b/>
      <sz val="12"/>
      <name val="Times New Roman"/>
      <family val="1"/>
    </font>
    <font>
      <b/>
      <sz val="10"/>
      <name val="MS Sans Serif"/>
      <family val="2"/>
    </font>
    <font>
      <sz val="11"/>
      <color indexed="4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8"/>
      <name val="Arial"/>
      <family val="2"/>
    </font>
    <font>
      <b/>
      <sz val="9"/>
      <color indexed="12"/>
      <name val="Tahoma"/>
      <family val="2"/>
    </font>
    <font>
      <sz val="9"/>
      <name val="Helv"/>
    </font>
    <font>
      <b/>
      <sz val="11"/>
      <color indexed="53"/>
      <name val="Calibri"/>
      <family val="2"/>
    </font>
    <font>
      <sz val="9"/>
      <color indexed="10"/>
      <name val="Geneva"/>
      <family val="2"/>
    </font>
    <font>
      <sz val="11"/>
      <color indexed="53"/>
      <name val="Calibri"/>
      <family val="2"/>
    </font>
    <font>
      <u/>
      <sz val="10"/>
      <color indexed="36"/>
      <name val="Arial"/>
      <family val="2"/>
    </font>
    <font>
      <sz val="10"/>
      <color indexed="39"/>
      <name val="Helvetica"/>
      <family val="2"/>
    </font>
    <font>
      <i/>
      <sz val="9"/>
      <color indexed="8"/>
      <name val="Helvetica"/>
      <family val="2"/>
    </font>
    <font>
      <sz val="8"/>
      <name val="Palatino"/>
      <family val="1"/>
    </font>
    <font>
      <i/>
      <sz val="10"/>
      <color indexed="17"/>
      <name val="Times New Roman"/>
      <family val="1"/>
    </font>
    <font>
      <b/>
      <sz val="9"/>
      <name val="Tahoma"/>
      <family val="2"/>
    </font>
    <font>
      <b/>
      <sz val="1"/>
      <color indexed="8"/>
      <name val="Courier"/>
      <family val="3"/>
    </font>
    <font>
      <sz val="10"/>
      <color indexed="8"/>
      <name val="Times New Roman"/>
      <family val="1"/>
    </font>
    <font>
      <sz val="12"/>
      <color indexed="24"/>
      <name val="Arial"/>
      <family val="2"/>
    </font>
    <font>
      <sz val="7"/>
      <name val="Palatino"/>
      <family val="1"/>
    </font>
    <font>
      <sz val="6"/>
      <color indexed="16"/>
      <name val="Palatino"/>
      <family val="1"/>
    </font>
    <font>
      <b/>
      <sz val="12"/>
      <name val="Helv"/>
    </font>
    <font>
      <b/>
      <sz val="10"/>
      <color indexed="18"/>
      <name val="Arial"/>
      <family val="2"/>
    </font>
    <font>
      <sz val="11"/>
      <color indexed="16"/>
      <name val="Calibri"/>
      <family val="2"/>
    </font>
    <font>
      <sz val="8"/>
      <color indexed="56"/>
      <name val="Helvetica"/>
      <family val="2"/>
    </font>
    <font>
      <sz val="8"/>
      <color indexed="39"/>
      <name val="Helvetica"/>
      <family val="2"/>
    </font>
    <font>
      <sz val="8"/>
      <color indexed="39"/>
      <name val="Helv"/>
      <family val="2"/>
    </font>
    <font>
      <sz val="8"/>
      <color indexed="39"/>
      <name val="Arial"/>
      <family val="2"/>
    </font>
    <font>
      <b/>
      <sz val="9"/>
      <color indexed="63"/>
      <name val="Tahoma"/>
      <family val="2"/>
    </font>
    <font>
      <sz val="8"/>
      <color indexed="8"/>
      <name val="Helv"/>
    </font>
    <font>
      <b/>
      <sz val="12"/>
      <color indexed="20"/>
      <name val="Tahoma"/>
      <family val="2"/>
    </font>
    <font>
      <sz val="10"/>
      <color indexed="20"/>
      <name val="Times New Roman"/>
      <family val="1"/>
    </font>
    <font>
      <b/>
      <sz val="12"/>
      <color indexed="8"/>
      <name val="Times New Roman"/>
      <family val="1"/>
    </font>
    <font>
      <sz val="7"/>
      <name val="Small Fonts"/>
      <family val="2"/>
    </font>
    <font>
      <sz val="10"/>
      <name val="Palatino"/>
      <family val="1"/>
    </font>
    <font>
      <sz val="12"/>
      <name val="Palatino"/>
      <family val="1"/>
    </font>
    <font>
      <sz val="11"/>
      <color indexed="8"/>
      <name val="Times New Roman"/>
      <family val="1"/>
    </font>
    <font>
      <sz val="10"/>
      <color indexed="8"/>
      <name val="Helvetica"/>
      <family val="2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color indexed="16"/>
      <name val="Helvetica-Black"/>
    </font>
    <font>
      <b/>
      <sz val="8"/>
      <color indexed="32"/>
      <name val="Arial"/>
      <family val="2"/>
    </font>
    <font>
      <sz val="8"/>
      <color indexed="61"/>
      <name val="Arial"/>
      <family val="2"/>
    </font>
    <font>
      <b/>
      <i/>
      <sz val="10"/>
      <color indexed="32"/>
      <name val="Arial"/>
      <family val="2"/>
    </font>
    <font>
      <b/>
      <i/>
      <sz val="10"/>
      <color indexed="61"/>
      <name val="Arial"/>
      <family val="2"/>
    </font>
    <font>
      <b/>
      <i/>
      <sz val="10"/>
      <color indexed="28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sz val="11"/>
      <color indexed="8"/>
      <name val="Helv"/>
    </font>
    <font>
      <sz val="1"/>
      <color indexed="72"/>
      <name val="Courier"/>
      <family val="3"/>
    </font>
    <font>
      <b/>
      <sz val="12"/>
      <color indexed="17"/>
      <name val="Arial"/>
      <family val="2"/>
    </font>
    <font>
      <b/>
      <sz val="13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u/>
      <sz val="10"/>
      <name val="Arial"/>
      <family val="2"/>
    </font>
    <font>
      <sz val="9"/>
      <name val="Helvetica-Black"/>
    </font>
    <font>
      <sz val="6"/>
      <name val="Arial"/>
      <family val="2"/>
    </font>
    <font>
      <sz val="12"/>
      <name val="Garamond"/>
      <family val="1"/>
    </font>
    <font>
      <b/>
      <u/>
      <sz val="10"/>
      <name val="Arial Narrow"/>
      <family val="2"/>
    </font>
    <font>
      <b/>
      <i/>
      <sz val="14"/>
      <name val="Helv"/>
      <family val="2"/>
    </font>
    <font>
      <b/>
      <u/>
      <sz val="12"/>
      <name val="Arial"/>
      <family val="2"/>
    </font>
    <font>
      <sz val="10"/>
      <color indexed="32"/>
      <name val="Arial"/>
      <family val="2"/>
    </font>
    <font>
      <i/>
      <sz val="10"/>
      <name val="Times New Roman"/>
      <family val="1"/>
    </font>
    <font>
      <sz val="10"/>
      <color indexed="8"/>
      <name val="Haettenschweiler"/>
      <family val="2"/>
    </font>
    <font>
      <sz val="12"/>
      <name val="바탕체"/>
      <family val="1"/>
      <charset val="129"/>
    </font>
    <font>
      <u/>
      <sz val="11"/>
      <color theme="10"/>
      <name val="Calibri"/>
      <family val="2"/>
      <scheme val="minor"/>
    </font>
    <font>
      <sz val="10"/>
      <name val="Helv"/>
      <charset val="204"/>
    </font>
    <font>
      <sz val="10"/>
      <color indexed="20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b/>
      <sz val="11"/>
      <color indexed="56"/>
      <name val="Arial"/>
      <family val="2"/>
    </font>
    <font>
      <sz val="10"/>
      <name val="N Helvetica Narrow"/>
    </font>
    <font>
      <sz val="10"/>
      <color indexed="62"/>
      <name val="Arial"/>
      <family val="2"/>
    </font>
    <font>
      <sz val="1"/>
      <color indexed="16"/>
      <name val="Courier"/>
      <family val="3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Frutiger 45 Light"/>
      <family val="2"/>
    </font>
    <font>
      <b/>
      <sz val="10"/>
      <color indexed="63"/>
      <name val="Arial"/>
      <family val="2"/>
    </font>
    <font>
      <sz val="10"/>
      <name val="Arial"/>
      <family val="2"/>
      <charset val="177"/>
    </font>
    <font>
      <sz val="10"/>
      <name val="GillSans Light"/>
      <family val="2"/>
    </font>
    <font>
      <b/>
      <u/>
      <sz val="10"/>
      <color indexed="39"/>
      <name val="Times New Roman"/>
      <family val="1"/>
    </font>
    <font>
      <sz val="12"/>
      <name val="MS Serif"/>
      <family val="1"/>
    </font>
    <font>
      <b/>
      <i/>
      <sz val="10"/>
      <name val="Geneva"/>
      <family val="2"/>
    </font>
    <font>
      <sz val="10"/>
      <color indexed="55"/>
      <name val="Arial"/>
      <family val="2"/>
    </font>
    <font>
      <b/>
      <i/>
      <sz val="12"/>
      <name val="Geneva"/>
      <family val="2"/>
    </font>
    <font>
      <sz val="9.5"/>
      <name val="ＭＳ 明朝"/>
      <family val="1"/>
      <charset val="128"/>
    </font>
    <font>
      <b/>
      <u/>
      <sz val="8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6"/>
      <name val="Arial"/>
      <family val="2"/>
    </font>
    <font>
      <sz val="8"/>
      <color rgb="FF0000FF"/>
      <name val="Arial"/>
      <family val="2"/>
    </font>
    <font>
      <b/>
      <sz val="8"/>
      <color rgb="FF00BDF2"/>
      <name val="Arial"/>
      <family val="2"/>
    </font>
    <font>
      <i/>
      <sz val="8"/>
      <color theme="6"/>
      <name val="Arial"/>
      <family val="2"/>
    </font>
    <font>
      <i/>
      <sz val="8"/>
      <color rgb="FF53565A"/>
      <name val="Arial"/>
      <family val="2"/>
    </font>
    <font>
      <sz val="8"/>
      <color rgb="FF53565A"/>
      <name val="Arial"/>
      <family val="2"/>
    </font>
    <font>
      <b/>
      <sz val="8"/>
      <color theme="6"/>
      <name val="Arial"/>
      <family val="2"/>
    </font>
    <font>
      <b/>
      <sz val="8"/>
      <color rgb="FF53565A"/>
      <name val="Arial"/>
      <family val="2"/>
    </font>
    <font>
      <sz val="8"/>
      <color rgb="FF000000"/>
      <name val="Arial"/>
      <family val="2"/>
    </font>
    <font>
      <b/>
      <sz val="8"/>
      <color rgb="FF0000FF"/>
      <name val="Arial"/>
      <family val="2"/>
    </font>
    <font>
      <sz val="8"/>
      <color rgb="FF00BDF2"/>
      <name val="Arial"/>
      <family val="2"/>
    </font>
    <font>
      <i/>
      <sz val="8"/>
      <name val="Arial"/>
      <family val="2"/>
    </font>
    <font>
      <b/>
      <sz val="8"/>
      <color rgb="FF0070C0"/>
      <name val="Arial"/>
      <family val="2"/>
    </font>
    <font>
      <sz val="8"/>
      <color theme="1"/>
      <name val="Frutiger 47 Light CN"/>
      <family val="2"/>
    </font>
    <font>
      <i/>
      <sz val="8"/>
      <color rgb="FF000000"/>
      <name val="Arial"/>
      <family val="2"/>
    </font>
    <font>
      <i/>
      <sz val="8"/>
      <color rgb="FF0000FF"/>
      <name val="Arial"/>
      <family val="2"/>
    </font>
    <font>
      <b/>
      <sz val="8"/>
      <color rgb="FF000000"/>
      <name val="Arial"/>
      <family val="2"/>
    </font>
    <font>
      <sz val="8"/>
      <color theme="4"/>
      <name val="Arial"/>
      <family val="2"/>
    </font>
    <font>
      <sz val="8"/>
      <color rgb="FF0000E1"/>
      <name val="Arial"/>
      <family val="2"/>
    </font>
    <font>
      <b/>
      <i/>
      <sz val="8"/>
      <color rgb="FF53565A"/>
      <name val="Arial"/>
      <family val="2"/>
    </font>
    <font>
      <i/>
      <sz val="8"/>
      <color theme="4"/>
      <name val="Arial"/>
      <family val="2"/>
    </font>
    <font>
      <b/>
      <sz val="8"/>
      <color theme="4"/>
      <name val="Arial"/>
      <family val="2"/>
    </font>
    <font>
      <i/>
      <sz val="8"/>
      <color theme="0"/>
      <name val="Arial"/>
      <family val="2"/>
    </font>
    <font>
      <i/>
      <sz val="10"/>
      <color theme="4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b/>
      <sz val="10"/>
      <color theme="5"/>
      <name val="Arial"/>
      <family val="2"/>
    </font>
    <font>
      <i/>
      <sz val="10"/>
      <color rgb="FF53565A"/>
      <name val="Arial"/>
      <family val="2"/>
    </font>
    <font>
      <b/>
      <sz val="10"/>
      <color theme="6"/>
      <name val="Arial"/>
      <family val="2"/>
    </font>
    <font>
      <sz val="10"/>
      <color rgb="FF53565A"/>
      <name val="Arial"/>
      <family val="2"/>
    </font>
    <font>
      <i/>
      <sz val="10"/>
      <color theme="6"/>
      <name val="Arial"/>
      <family val="2"/>
    </font>
    <font>
      <sz val="10"/>
      <color theme="6"/>
      <name val="Arial"/>
      <family val="2"/>
    </font>
    <font>
      <b/>
      <i/>
      <sz val="10"/>
      <color rgb="FF53565A"/>
      <name val="Arial"/>
      <family val="2"/>
    </font>
    <font>
      <b/>
      <sz val="10"/>
      <color rgb="FF53565A"/>
      <name val="Arial"/>
      <family val="2"/>
    </font>
    <font>
      <b/>
      <sz val="10"/>
      <color rgb="FF00BDF2"/>
      <name val="Arial"/>
      <family val="2"/>
    </font>
    <font>
      <b/>
      <i/>
      <sz val="10"/>
      <color theme="5"/>
      <name val="Arial"/>
      <family val="2"/>
    </font>
  </fonts>
  <fills count="1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mediumGray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0625">
        <fgColor indexed="11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37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gray0625"/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9"/>
      </patternFill>
    </fill>
    <fill>
      <patternFill patternType="gray125">
        <fgColor indexed="8"/>
      </patternFill>
    </fill>
    <fill>
      <patternFill patternType="solid">
        <fgColor indexed="45"/>
        <bgColor indexed="45"/>
      </patternFill>
    </fill>
    <fill>
      <patternFill patternType="solid">
        <fgColor indexed="26"/>
        <bgColor indexed="34"/>
      </patternFill>
    </fill>
    <fill>
      <patternFill patternType="mediumGray">
        <fgColor indexed="9"/>
        <bgColor indexed="22"/>
      </patternFill>
    </fill>
    <fill>
      <patternFill patternType="solid">
        <fgColor indexed="22"/>
        <bgColor indexed="1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19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2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lightGray">
        <fgColor theme="0" tint="-0.2499465926084170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 style="thin">
        <color indexed="48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ck">
        <color theme="0"/>
      </right>
      <top/>
      <bottom/>
      <diagonal/>
    </border>
  </borders>
  <cellStyleXfs count="1664">
    <xf numFmtId="0" fontId="0" fillId="0" borderId="0"/>
    <xf numFmtId="0" fontId="17" fillId="0" borderId="0"/>
    <xf numFmtId="0" fontId="18" fillId="0" borderId="0"/>
    <xf numFmtId="0" fontId="18" fillId="0" borderId="0"/>
    <xf numFmtId="0" fontId="45" fillId="0" borderId="0">
      <alignment horizontal="center" wrapText="1"/>
      <protection locked="0"/>
    </xf>
    <xf numFmtId="0" fontId="46" fillId="0" borderId="0"/>
    <xf numFmtId="187" fontId="47" fillId="0" borderId="0" applyFill="0" applyBorder="0" applyAlignment="0"/>
    <xf numFmtId="0" fontId="32" fillId="33" borderId="10" applyFont="0" applyFill="0" applyBorder="0"/>
    <xf numFmtId="0" fontId="33" fillId="0" borderId="11"/>
    <xf numFmtId="3" fontId="48" fillId="0" borderId="0" applyFont="0" applyFill="0" applyBorder="0" applyAlignment="0" applyProtection="0"/>
    <xf numFmtId="180" fontId="48" fillId="0" borderId="0" applyFont="0" applyFill="0" applyBorder="0" applyAlignment="0" applyProtection="0"/>
    <xf numFmtId="43" fontId="18" fillId="0" borderId="0" applyFont="0" applyFill="0" applyBorder="0" applyAlignment="0" applyProtection="0"/>
    <xf numFmtId="3" fontId="18" fillId="0" borderId="0" applyFont="0" applyFill="0" applyBorder="0" applyAlignment="0" applyProtection="0">
      <alignment vertical="top"/>
    </xf>
    <xf numFmtId="0" fontId="49" fillId="0" borderId="0"/>
    <xf numFmtId="0" fontId="50" fillId="0" borderId="0"/>
    <xf numFmtId="0" fontId="49" fillId="0" borderId="0"/>
    <xf numFmtId="0" fontId="50" fillId="0" borderId="0"/>
    <xf numFmtId="0" fontId="51" fillId="0" borderId="0" applyNumberFormat="0" applyAlignment="0">
      <alignment horizontal="left"/>
    </xf>
    <xf numFmtId="0" fontId="52" fillId="0" borderId="0" applyNumberFormat="0" applyAlignment="0"/>
    <xf numFmtId="168" fontId="18" fillId="0" borderId="0" applyFont="0" applyFill="0" applyBorder="0" applyAlignment="0" applyProtection="0"/>
    <xf numFmtId="188" fontId="18" fillId="0" borderId="0" applyFont="0" applyFill="0" applyBorder="0" applyAlignment="0" applyProtection="0">
      <alignment vertical="top"/>
    </xf>
    <xf numFmtId="0" fontId="18" fillId="0" borderId="0" applyFont="0" applyFill="0" applyBorder="0" applyAlignment="0" applyProtection="0">
      <alignment vertical="top"/>
    </xf>
    <xf numFmtId="177" fontId="19" fillId="0" borderId="0" applyFont="0" applyFill="0" applyBorder="0" applyAlignment="0" applyProtection="0">
      <alignment vertical="top"/>
    </xf>
    <xf numFmtId="176" fontId="20" fillId="0" borderId="0" applyFont="0" applyFill="0" applyBorder="0" applyAlignment="0" applyProtection="0"/>
    <xf numFmtId="0" fontId="53" fillId="0" borderId="0" applyNumberFormat="0" applyAlignment="0">
      <alignment horizontal="left"/>
    </xf>
    <xf numFmtId="189" fontId="18" fillId="0" borderId="0" applyFont="0" applyFill="0" applyBorder="0" applyAlignment="0" applyProtection="0"/>
    <xf numFmtId="0" fontId="54" fillId="0" borderId="0">
      <protection locked="0"/>
    </xf>
    <xf numFmtId="0" fontId="54" fillId="0" borderId="0">
      <protection locked="0"/>
    </xf>
    <xf numFmtId="0" fontId="55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5" fillId="0" borderId="0">
      <protection locked="0"/>
    </xf>
    <xf numFmtId="175" fontId="21" fillId="0" borderId="0" applyFont="0" applyFill="0" applyBorder="0" applyProtection="0">
      <alignment vertical="top"/>
    </xf>
    <xf numFmtId="2" fontId="18" fillId="0" borderId="0" applyFont="0" applyFill="0" applyBorder="0" applyAlignment="0" applyProtection="0">
      <alignment vertical="top"/>
    </xf>
    <xf numFmtId="0" fontId="56" fillId="0" borderId="0" applyFill="0" applyBorder="0" applyAlignment="0" applyProtection="0"/>
    <xf numFmtId="0" fontId="57" fillId="0" borderId="0" applyNumberFormat="0" applyFill="0" applyBorder="0" applyAlignment="0" applyProtection="0"/>
    <xf numFmtId="38" fontId="33" fillId="34" borderId="0" applyNumberFormat="0" applyBorder="0" applyAlignment="0" applyProtection="0"/>
    <xf numFmtId="0" fontId="58" fillId="0" borderId="12" applyNumberFormat="0" applyAlignment="0" applyProtection="0">
      <alignment horizontal="left" vertical="center"/>
    </xf>
    <xf numFmtId="0" fontId="58" fillId="0" borderId="13">
      <alignment horizontal="left" vertical="center"/>
    </xf>
    <xf numFmtId="0" fontId="59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10" fontId="33" fillId="35" borderId="14" applyNumberFormat="0" applyBorder="0" applyAlignment="0" applyProtection="0"/>
    <xf numFmtId="185" fontId="60" fillId="36" borderId="0"/>
    <xf numFmtId="3" fontId="61" fillId="37" borderId="14">
      <protection locked="0"/>
    </xf>
    <xf numFmtId="0" fontId="62" fillId="38" borderId="0" applyNumberFormat="0" applyFont="0" applyFill="0" applyBorder="0" applyAlignment="0"/>
    <xf numFmtId="38" fontId="22" fillId="0" borderId="0"/>
    <xf numFmtId="38" fontId="23" fillId="0" borderId="0"/>
    <xf numFmtId="38" fontId="24" fillId="0" borderId="0"/>
    <xf numFmtId="38" fontId="25" fillId="0" borderId="0"/>
    <xf numFmtId="0" fontId="26" fillId="0" borderId="0"/>
    <xf numFmtId="0" fontId="26" fillId="0" borderId="0"/>
    <xf numFmtId="185" fontId="63" fillId="39" borderId="0"/>
    <xf numFmtId="0" fontId="64" fillId="0" borderId="15" applyNumberFormat="0" applyBorder="0" applyAlignment="0">
      <alignment horizontal="left"/>
    </xf>
    <xf numFmtId="38" fontId="46" fillId="0" borderId="16">
      <alignment vertical="center"/>
    </xf>
    <xf numFmtId="40" fontId="46" fillId="0" borderId="16">
      <alignment vertical="center"/>
    </xf>
    <xf numFmtId="38" fontId="46" fillId="0" borderId="16">
      <alignment vertical="center"/>
    </xf>
    <xf numFmtId="40" fontId="46" fillId="0" borderId="17" applyBorder="0">
      <alignment vertical="center"/>
    </xf>
    <xf numFmtId="40" fontId="46" fillId="0" borderId="16">
      <alignment vertical="center"/>
    </xf>
    <xf numFmtId="40" fontId="46" fillId="0" borderId="16">
      <alignment vertical="center"/>
    </xf>
    <xf numFmtId="40" fontId="46" fillId="0" borderId="17" applyBorder="0">
      <alignment vertical="center"/>
    </xf>
    <xf numFmtId="40" fontId="46" fillId="0" borderId="17" applyBorder="0">
      <alignment vertical="center"/>
    </xf>
    <xf numFmtId="40" fontId="46" fillId="0" borderId="17" applyBorder="0">
      <alignment vertical="center"/>
    </xf>
    <xf numFmtId="174" fontId="65" fillId="0" borderId="0" applyFont="0" applyFill="0" applyBorder="0" applyAlignment="0" applyProtection="0"/>
    <xf numFmtId="190" fontId="65" fillId="0" borderId="0" applyFont="0" applyFill="0" applyBorder="0" applyAlignment="0" applyProtection="0"/>
    <xf numFmtId="173" fontId="65" fillId="0" borderId="0" applyFont="0" applyFill="0" applyBorder="0" applyAlignment="0" applyProtection="0"/>
    <xf numFmtId="191" fontId="65" fillId="0" borderId="0" applyFont="0" applyFill="0" applyBorder="0" applyAlignment="0" applyProtection="0"/>
    <xf numFmtId="186" fontId="18" fillId="0" borderId="0"/>
    <xf numFmtId="192" fontId="18" fillId="0" borderId="0"/>
    <xf numFmtId="193" fontId="66" fillId="0" borderId="0"/>
    <xf numFmtId="183" fontId="18" fillId="0" borderId="0">
      <alignment horizontal="right"/>
    </xf>
    <xf numFmtId="0" fontId="18" fillId="0" borderId="0"/>
    <xf numFmtId="194" fontId="65" fillId="0" borderId="18"/>
    <xf numFmtId="194" fontId="65" fillId="0" borderId="18"/>
    <xf numFmtId="40" fontId="67" fillId="0" borderId="0" applyFont="0" applyFill="0" applyBorder="0" applyAlignment="0" applyProtection="0"/>
    <xf numFmtId="38" fontId="67" fillId="0" borderId="0" applyFont="0" applyFill="0" applyBorder="0" applyAlignment="0" applyProtection="0"/>
    <xf numFmtId="14" fontId="45" fillId="0" borderId="0">
      <alignment horizontal="center" wrapText="1"/>
      <protection locked="0"/>
    </xf>
    <xf numFmtId="9" fontId="18" fillId="0" borderId="0" applyFont="0" applyFill="0" applyBorder="0" applyAlignment="0" applyProtection="0"/>
    <xf numFmtId="9" fontId="68" fillId="0" borderId="20" applyBorder="0"/>
    <xf numFmtId="10" fontId="18" fillId="0" borderId="0" applyFont="0" applyFill="0" applyBorder="0" applyAlignment="0" applyProtection="0"/>
    <xf numFmtId="9" fontId="68" fillId="0" borderId="20" applyBorder="0"/>
    <xf numFmtId="170" fontId="69" fillId="0" borderId="0"/>
    <xf numFmtId="0" fontId="68" fillId="0" borderId="0" applyNumberFormat="0" applyFont="0" applyFill="0" applyBorder="0" applyAlignment="0" applyProtection="0">
      <alignment horizontal="left"/>
    </xf>
    <xf numFmtId="0" fontId="70" fillId="0" borderId="0"/>
    <xf numFmtId="0" fontId="71" fillId="0" borderId="0"/>
    <xf numFmtId="0" fontId="72" fillId="0" borderId="0"/>
    <xf numFmtId="0" fontId="73" fillId="0" borderId="0" applyNumberFormat="0" applyBorder="0" applyAlignment="0" applyProtection="0"/>
    <xf numFmtId="0" fontId="73" fillId="0" borderId="0" applyNumberFormat="0" applyAlignment="0" applyProtection="0"/>
    <xf numFmtId="195" fontId="65" fillId="0" borderId="0" applyNumberFormat="0" applyFill="0" applyBorder="0" applyAlignment="0" applyProtection="0">
      <alignment horizontal="left"/>
    </xf>
    <xf numFmtId="38" fontId="74" fillId="0" borderId="0"/>
    <xf numFmtId="4" fontId="21" fillId="40" borderId="19" applyNumberFormat="0" applyProtection="0">
      <alignment vertical="center"/>
    </xf>
    <xf numFmtId="4" fontId="21" fillId="41" borderId="19" applyNumberFormat="0" applyProtection="0">
      <alignment horizontal="right" vertical="center"/>
    </xf>
    <xf numFmtId="40" fontId="75" fillId="0" borderId="0" applyBorder="0">
      <alignment horizontal="right"/>
    </xf>
    <xf numFmtId="0" fontId="76" fillId="0" borderId="0">
      <alignment horizontal="centerContinuous"/>
    </xf>
    <xf numFmtId="0" fontId="77" fillId="0" borderId="0">
      <alignment horizontal="fill"/>
    </xf>
    <xf numFmtId="196" fontId="78" fillId="34" borderId="0">
      <alignment horizontal="center"/>
    </xf>
    <xf numFmtId="0" fontId="19" fillId="0" borderId="0"/>
    <xf numFmtId="0" fontId="33" fillId="0" borderId="11"/>
    <xf numFmtId="3" fontId="18" fillId="0" borderId="0" applyFont="0" applyFill="0" applyBorder="0" applyAlignment="0" applyProtection="0">
      <alignment vertical="top"/>
    </xf>
    <xf numFmtId="188" fontId="18" fillId="0" borderId="0" applyFont="0" applyFill="0" applyBorder="0" applyAlignment="0" applyProtection="0">
      <alignment vertical="top"/>
    </xf>
    <xf numFmtId="0" fontId="18" fillId="0" borderId="0" applyFont="0" applyFill="0" applyBorder="0" applyAlignment="0" applyProtection="0">
      <alignment vertical="top"/>
    </xf>
    <xf numFmtId="2" fontId="18" fillId="0" borderId="0" applyFont="0" applyFill="0" applyBorder="0" applyAlignment="0" applyProtection="0">
      <alignment vertical="top"/>
    </xf>
    <xf numFmtId="38" fontId="33" fillId="34" borderId="0" applyNumberFormat="0" applyBorder="0" applyAlignment="0" applyProtection="0"/>
    <xf numFmtId="10" fontId="33" fillId="35" borderId="14" applyNumberFormat="0" applyBorder="0" applyAlignment="0" applyProtection="0"/>
    <xf numFmtId="0" fontId="18" fillId="0" borderId="0"/>
    <xf numFmtId="0" fontId="17" fillId="0" borderId="0"/>
    <xf numFmtId="0" fontId="8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64" borderId="19" applyNumberFormat="0" applyAlignment="0" applyProtection="0"/>
    <xf numFmtId="9" fontId="18" fillId="0" borderId="0" applyFont="0" applyFill="0" applyBorder="0" applyAlignment="0" applyProtection="0"/>
    <xf numFmtId="0" fontId="93" fillId="64" borderId="19" applyNumberFormat="0" applyAlignment="0" applyProtection="0"/>
    <xf numFmtId="0" fontId="79" fillId="67" borderId="36" applyNumberFormat="0" applyFont="0" applyAlignment="0" applyProtection="0"/>
    <xf numFmtId="0" fontId="79" fillId="67" borderId="36" applyNumberFormat="0" applyFont="0" applyAlignment="0" applyProtection="0"/>
    <xf numFmtId="0" fontId="18" fillId="0" borderId="0"/>
    <xf numFmtId="0" fontId="18" fillId="0" borderId="0"/>
    <xf numFmtId="0" fontId="92" fillId="66" borderId="0" applyNumberFormat="0" applyBorder="0" applyAlignment="0" applyProtection="0"/>
    <xf numFmtId="0" fontId="91" fillId="0" borderId="32" applyNumberFormat="0" applyFill="0" applyAlignment="0" applyProtection="0"/>
    <xf numFmtId="0" fontId="90" fillId="51" borderId="30" applyNumberFormat="0" applyAlignment="0" applyProtection="0"/>
    <xf numFmtId="0" fontId="89" fillId="0" borderId="0" applyNumberFormat="0" applyFill="0" applyBorder="0" applyAlignment="0" applyProtection="0"/>
    <xf numFmtId="0" fontId="89" fillId="0" borderId="35" applyNumberFormat="0" applyFill="0" applyAlignment="0" applyProtection="0"/>
    <xf numFmtId="0" fontId="88" fillId="0" borderId="34" applyNumberFormat="0" applyFill="0" applyAlignment="0" applyProtection="0"/>
    <xf numFmtId="0" fontId="87" fillId="0" borderId="33" applyNumberFormat="0" applyFill="0" applyAlignment="0" applyProtection="0"/>
    <xf numFmtId="0" fontId="86" fillId="48" borderId="0" applyNumberFormat="0" applyBorder="0" applyAlignment="0" applyProtection="0"/>
    <xf numFmtId="0" fontId="54" fillId="0" borderId="0">
      <protection locked="0"/>
    </xf>
    <xf numFmtId="0" fontId="55" fillId="0" borderId="0">
      <protection locked="0"/>
    </xf>
    <xf numFmtId="0" fontId="50" fillId="0" borderId="0"/>
    <xf numFmtId="0" fontId="54" fillId="0" borderId="0">
      <protection locked="0"/>
    </xf>
    <xf numFmtId="0" fontId="54" fillId="0" borderId="0">
      <protection locked="0"/>
    </xf>
    <xf numFmtId="0" fontId="74" fillId="0" borderId="0"/>
    <xf numFmtId="0" fontId="54" fillId="0" borderId="0">
      <protection locked="0"/>
    </xf>
    <xf numFmtId="0" fontId="97" fillId="0" borderId="0"/>
    <xf numFmtId="0" fontId="85" fillId="0" borderId="0" applyNumberFormat="0" applyFill="0" applyBorder="0" applyAlignment="0" applyProtection="0"/>
    <xf numFmtId="0" fontId="90" fillId="51" borderId="30" applyNumberFormat="0" applyAlignment="0" applyProtection="0"/>
    <xf numFmtId="0" fontId="81" fillId="63" borderId="0" applyNumberFormat="0" applyBorder="0" applyAlignment="0" applyProtection="0"/>
    <xf numFmtId="0" fontId="81" fillId="58" borderId="0" applyNumberFormat="0" applyBorder="0" applyAlignment="0" applyProtection="0"/>
    <xf numFmtId="0" fontId="81" fillId="62" borderId="0" applyNumberFormat="0" applyBorder="0" applyAlignment="0" applyProtection="0"/>
    <xf numFmtId="0" fontId="81" fillId="61" borderId="0" applyNumberFormat="0" applyBorder="0" applyAlignment="0" applyProtection="0"/>
    <xf numFmtId="0" fontId="81" fillId="60" borderId="0" applyNumberFormat="0" applyBorder="0" applyAlignment="0" applyProtection="0"/>
    <xf numFmtId="168" fontId="18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0" fontId="84" fillId="65" borderId="31" applyNumberFormat="0" applyAlignment="0" applyProtection="0"/>
    <xf numFmtId="0" fontId="91" fillId="0" borderId="32" applyNumberFormat="0" applyFill="0" applyAlignment="0" applyProtection="0"/>
    <xf numFmtId="0" fontId="84" fillId="65" borderId="31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86" fillId="48" borderId="0" applyNumberFormat="0" applyBorder="0" applyAlignment="0" applyProtection="0"/>
    <xf numFmtId="0" fontId="82" fillId="47" borderId="0" applyNumberFormat="0" applyBorder="0" applyAlignment="0" applyProtection="0"/>
    <xf numFmtId="0" fontId="81" fillId="63" borderId="0" applyNumberFormat="0" applyBorder="0" applyAlignment="0" applyProtection="0"/>
    <xf numFmtId="0" fontId="81" fillId="58" borderId="0" applyNumberFormat="0" applyBorder="0" applyAlignment="0" applyProtection="0"/>
    <xf numFmtId="0" fontId="81" fillId="57" borderId="0" applyNumberFormat="0" applyBorder="0" applyAlignment="0" applyProtection="0"/>
    <xf numFmtId="0" fontId="81" fillId="62" borderId="0" applyNumberFormat="0" applyBorder="0" applyAlignment="0" applyProtection="0"/>
    <xf numFmtId="0" fontId="81" fillId="61" borderId="0" applyNumberFormat="0" applyBorder="0" applyAlignment="0" applyProtection="0"/>
    <xf numFmtId="0" fontId="81" fillId="60" borderId="0" applyNumberFormat="0" applyBorder="0" applyAlignment="0" applyProtection="0"/>
    <xf numFmtId="0" fontId="81" fillId="59" borderId="0" applyNumberFormat="0" applyBorder="0" applyAlignment="0" applyProtection="0"/>
    <xf numFmtId="0" fontId="81" fillId="58" borderId="0" applyNumberFormat="0" applyBorder="0" applyAlignment="0" applyProtection="0"/>
    <xf numFmtId="0" fontId="81" fillId="57" borderId="0" applyNumberFormat="0" applyBorder="0" applyAlignment="0" applyProtection="0"/>
    <xf numFmtId="0" fontId="81" fillId="54" borderId="0" applyNumberFormat="0" applyBorder="0" applyAlignment="0" applyProtection="0"/>
    <xf numFmtId="0" fontId="81" fillId="53" borderId="0" applyNumberFormat="0" applyBorder="0" applyAlignment="0" applyProtection="0"/>
    <xf numFmtId="0" fontId="81" fillId="56" borderId="0" applyNumberFormat="0" applyBorder="0" applyAlignment="0" applyProtection="0"/>
    <xf numFmtId="0" fontId="81" fillId="59" borderId="0" applyNumberFormat="0" applyBorder="0" applyAlignment="0" applyProtection="0"/>
    <xf numFmtId="0" fontId="81" fillId="58" borderId="0" applyNumberFormat="0" applyBorder="0" applyAlignment="0" applyProtection="0"/>
    <xf numFmtId="0" fontId="81" fillId="57" borderId="0" applyNumberFormat="0" applyBorder="0" applyAlignment="0" applyProtection="0"/>
    <xf numFmtId="0" fontId="81" fillId="54" borderId="0" applyNumberFormat="0" applyBorder="0" applyAlignment="0" applyProtection="0"/>
    <xf numFmtId="0" fontId="81" fillId="53" borderId="0" applyNumberFormat="0" applyBorder="0" applyAlignment="0" applyProtection="0"/>
    <xf numFmtId="0" fontId="81" fillId="56" borderId="0" applyNumberFormat="0" applyBorder="0" applyAlignment="0" applyProtection="0"/>
    <xf numFmtId="0" fontId="79" fillId="55" borderId="0" applyNumberFormat="0" applyBorder="0" applyAlignment="0" applyProtection="0"/>
    <xf numFmtId="0" fontId="79" fillId="52" borderId="0" applyNumberFormat="0" applyBorder="0" applyAlignment="0" applyProtection="0"/>
    <xf numFmtId="0" fontId="79" fillId="49" borderId="0" applyNumberFormat="0" applyBorder="0" applyAlignment="0" applyProtection="0"/>
    <xf numFmtId="0" fontId="79" fillId="54" borderId="0" applyNumberFormat="0" applyBorder="0" applyAlignment="0" applyProtection="0"/>
    <xf numFmtId="0" fontId="79" fillId="52" borderId="0" applyNumberFormat="0" applyBorder="0" applyAlignment="0" applyProtection="0"/>
    <xf numFmtId="0" fontId="79" fillId="55" borderId="0" applyNumberFormat="0" applyBorder="0" applyAlignment="0" applyProtection="0"/>
    <xf numFmtId="0" fontId="79" fillId="52" borderId="0" applyNumberFormat="0" applyBorder="0" applyAlignment="0" applyProtection="0"/>
    <xf numFmtId="0" fontId="79" fillId="49" borderId="0" applyNumberFormat="0" applyBorder="0" applyAlignment="0" applyProtection="0"/>
    <xf numFmtId="0" fontId="79" fillId="54" borderId="0" applyNumberFormat="0" applyBorder="0" applyAlignment="0" applyProtection="0"/>
    <xf numFmtId="0" fontId="79" fillId="53" borderId="0" applyNumberFormat="0" applyBorder="0" applyAlignment="0" applyProtection="0"/>
    <xf numFmtId="0" fontId="79" fillId="52" borderId="0" applyNumberFormat="0" applyBorder="0" applyAlignment="0" applyProtection="0"/>
    <xf numFmtId="0" fontId="79" fillId="51" borderId="0" applyNumberFormat="0" applyBorder="0" applyAlignment="0" applyProtection="0"/>
    <xf numFmtId="0" fontId="79" fillId="50" borderId="0" applyNumberFormat="0" applyBorder="0" applyAlignment="0" applyProtection="0"/>
    <xf numFmtId="9" fontId="18" fillId="0" borderId="0" applyFont="0" applyFill="0" applyBorder="0" applyAlignment="0" applyProtection="0"/>
    <xf numFmtId="0" fontId="79" fillId="49" borderId="0" applyNumberFormat="0" applyBorder="0" applyAlignment="0" applyProtection="0"/>
    <xf numFmtId="0" fontId="79" fillId="48" borderId="0" applyNumberFormat="0" applyBorder="0" applyAlignment="0" applyProtection="0"/>
    <xf numFmtId="0" fontId="79" fillId="47" borderId="0" applyNumberFormat="0" applyBorder="0" applyAlignment="0" applyProtection="0"/>
    <xf numFmtId="0" fontId="79" fillId="46" borderId="0" applyNumberFormat="0" applyBorder="0" applyAlignment="0" applyProtection="0"/>
    <xf numFmtId="0" fontId="79" fillId="51" borderId="0" applyNumberFormat="0" applyBorder="0" applyAlignment="0" applyProtection="0"/>
    <xf numFmtId="0" fontId="79" fillId="50" borderId="0" applyNumberFormat="0" applyBorder="0" applyAlignment="0" applyProtection="0"/>
    <xf numFmtId="0" fontId="79" fillId="49" borderId="0" applyNumberFormat="0" applyBorder="0" applyAlignment="0" applyProtection="0"/>
    <xf numFmtId="0" fontId="79" fillId="48" borderId="0" applyNumberFormat="0" applyBorder="0" applyAlignment="0" applyProtection="0"/>
    <xf numFmtId="0" fontId="79" fillId="47" borderId="0" applyNumberFormat="0" applyBorder="0" applyAlignment="0" applyProtection="0"/>
    <xf numFmtId="0" fontId="79" fillId="46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79" fillId="53" borderId="0" applyNumberFormat="0" applyBorder="0" applyAlignment="0" applyProtection="0"/>
    <xf numFmtId="0" fontId="1" fillId="0" borderId="0"/>
    <xf numFmtId="0" fontId="82" fillId="47" borderId="0" applyNumberFormat="0" applyBorder="0" applyAlignment="0" applyProtection="0"/>
    <xf numFmtId="0" fontId="54" fillId="0" borderId="0">
      <protection locked="0"/>
    </xf>
    <xf numFmtId="0" fontId="81" fillId="57" borderId="0" applyNumberFormat="0" applyBorder="0" applyAlignment="0" applyProtection="0"/>
    <xf numFmtId="0" fontId="89" fillId="0" borderId="0" applyNumberFormat="0" applyFill="0" applyBorder="0" applyAlignment="0" applyProtection="0"/>
    <xf numFmtId="169" fontId="18" fillId="0" borderId="0" applyFont="0" applyFill="0" applyBorder="0" applyAlignment="0" applyProtection="0"/>
    <xf numFmtId="0" fontId="18" fillId="68" borderId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7" fillId="0" borderId="33" applyNumberFormat="0" applyFill="0" applyAlignment="0" applyProtection="0"/>
    <xf numFmtId="0" fontId="88" fillId="0" borderId="34" applyNumberFormat="0" applyFill="0" applyAlignment="0" applyProtection="0"/>
    <xf numFmtId="0" fontId="89" fillId="0" borderId="35" applyNumberFormat="0" applyFill="0" applyAlignment="0" applyProtection="0"/>
    <xf numFmtId="0" fontId="95" fillId="0" borderId="37" applyNumberFormat="0" applyFill="0" applyAlignment="0" applyProtection="0"/>
    <xf numFmtId="0" fontId="96" fillId="0" borderId="0" applyNumberFormat="0" applyFill="0" applyBorder="0" applyAlignment="0" applyProtection="0"/>
    <xf numFmtId="180" fontId="18" fillId="0" borderId="0">
      <protection locked="0"/>
    </xf>
    <xf numFmtId="0" fontId="79" fillId="49" borderId="0" applyNumberFormat="0" applyBorder="0" applyAlignment="0" applyProtection="0"/>
    <xf numFmtId="0" fontId="79" fillId="51" borderId="0" applyNumberFormat="0" applyBorder="0" applyAlignment="0" applyProtection="0"/>
    <xf numFmtId="0" fontId="79" fillId="67" borderId="0" applyNumberFormat="0" applyBorder="0" applyAlignment="0" applyProtection="0"/>
    <xf numFmtId="0" fontId="79" fillId="64" borderId="0" applyNumberFormat="0" applyBorder="0" applyAlignment="0" applyProtection="0"/>
    <xf numFmtId="0" fontId="79" fillId="66" borderId="0" applyNumberFormat="0" applyBorder="0" applyAlignment="0" applyProtection="0"/>
    <xf numFmtId="0" fontId="79" fillId="64" borderId="0" applyNumberFormat="0" applyBorder="0" applyAlignment="0" applyProtection="0"/>
    <xf numFmtId="0" fontId="79" fillId="51" borderId="0" applyNumberFormat="0" applyBorder="0" applyAlignment="0" applyProtection="0"/>
    <xf numFmtId="0" fontId="81" fillId="58" borderId="0" applyNumberFormat="0" applyBorder="0" applyAlignment="0" applyProtection="0"/>
    <xf numFmtId="0" fontId="81" fillId="66" borderId="0" applyNumberFormat="0" applyBorder="0" applyAlignment="0" applyProtection="0"/>
    <xf numFmtId="0" fontId="81" fillId="64" borderId="0" applyNumberFormat="0" applyBorder="0" applyAlignment="0" applyProtection="0"/>
    <xf numFmtId="0" fontId="81" fillId="51" borderId="0" applyNumberFormat="0" applyBorder="0" applyAlignment="0" applyProtection="0"/>
    <xf numFmtId="0" fontId="83" fillId="75" borderId="30" applyNumberFormat="0" applyAlignment="0" applyProtection="0"/>
    <xf numFmtId="169" fontId="18" fillId="0" borderId="0" applyFont="0" applyFill="0" applyBorder="0" applyAlignment="0" applyProtection="0"/>
    <xf numFmtId="200" fontId="18" fillId="0" borderId="0"/>
    <xf numFmtId="200" fontId="18" fillId="0" borderId="0"/>
    <xf numFmtId="200" fontId="18" fillId="0" borderId="0"/>
    <xf numFmtId="200" fontId="18" fillId="0" borderId="0"/>
    <xf numFmtId="200" fontId="18" fillId="0" borderId="0"/>
    <xf numFmtId="200" fontId="18" fillId="0" borderId="0"/>
    <xf numFmtId="200" fontId="18" fillId="0" borderId="0"/>
    <xf numFmtId="200" fontId="18" fillId="0" borderId="0"/>
    <xf numFmtId="180" fontId="18" fillId="0" borderId="0">
      <protection locked="0"/>
    </xf>
    <xf numFmtId="0" fontId="98" fillId="0" borderId="0" applyNumberFormat="0" applyFill="0" applyBorder="0" applyAlignment="0" applyProtection="0"/>
    <xf numFmtId="0" fontId="81" fillId="58" borderId="0" applyNumberFormat="0" applyBorder="0" applyAlignment="0" applyProtection="0"/>
    <xf numFmtId="0" fontId="81" fillId="76" borderId="0" applyNumberFormat="0" applyBorder="0" applyAlignment="0" applyProtection="0"/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200" fontId="18" fillId="0" borderId="0">
      <protection locked="0"/>
    </xf>
    <xf numFmtId="199" fontId="18" fillId="0" borderId="0"/>
    <xf numFmtId="0" fontId="18" fillId="0" borderId="0"/>
    <xf numFmtId="0" fontId="18" fillId="67" borderId="36" applyNumberFormat="0" applyFont="0" applyAlignment="0" applyProtection="0"/>
    <xf numFmtId="0" fontId="93" fillId="75" borderId="19" applyNumberFormat="0" applyAlignment="0" applyProtection="0"/>
    <xf numFmtId="0" fontId="99" fillId="0" borderId="0" applyNumberFormat="0" applyFill="0" applyBorder="0" applyAlignment="0" applyProtection="0"/>
    <xf numFmtId="0" fontId="100" fillId="0" borderId="38" applyNumberFormat="0" applyFill="0" applyAlignment="0" applyProtection="0"/>
    <xf numFmtId="0" fontId="101" fillId="0" borderId="34" applyNumberFormat="0" applyFill="0" applyAlignment="0" applyProtection="0"/>
    <xf numFmtId="0" fontId="98" fillId="0" borderId="39" applyNumberFormat="0" applyFill="0" applyAlignment="0" applyProtection="0"/>
    <xf numFmtId="200" fontId="18" fillId="0" borderId="25">
      <protection locked="0"/>
    </xf>
    <xf numFmtId="169" fontId="18" fillId="0" borderId="0" applyFont="0" applyFill="0" applyBorder="0" applyAlignment="0" applyProtection="0"/>
    <xf numFmtId="180" fontId="18" fillId="0" borderId="0">
      <protection locked="0"/>
    </xf>
    <xf numFmtId="180" fontId="18" fillId="0" borderId="0">
      <protection locked="0"/>
    </xf>
    <xf numFmtId="180" fontId="18" fillId="0" borderId="0">
      <protection locked="0"/>
    </xf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8" fillId="68" borderId="0"/>
    <xf numFmtId="4" fontId="107" fillId="43" borderId="40">
      <alignment vertical="center"/>
    </xf>
    <xf numFmtId="4" fontId="108" fillId="43" borderId="40">
      <alignment vertical="center"/>
    </xf>
    <xf numFmtId="4" fontId="31" fillId="72" borderId="34">
      <alignment vertical="center"/>
    </xf>
    <xf numFmtId="4" fontId="103" fillId="72" borderId="34">
      <alignment vertical="center"/>
    </xf>
    <xf numFmtId="4" fontId="31" fillId="77" borderId="34">
      <alignment vertical="center"/>
    </xf>
    <xf numFmtId="4" fontId="103" fillId="77" borderId="34">
      <alignment vertical="center"/>
    </xf>
    <xf numFmtId="4" fontId="109" fillId="43" borderId="40">
      <alignment horizontal="left" vertical="center" indent="1"/>
    </xf>
    <xf numFmtId="0" fontId="18" fillId="68" borderId="0"/>
    <xf numFmtId="4" fontId="109" fillId="78" borderId="0">
      <alignment horizontal="left" vertical="center" indent="1"/>
    </xf>
    <xf numFmtId="4" fontId="109" fillId="70" borderId="40" applyNumberFormat="0" applyProtection="0">
      <alignment horizontal="right" vertical="center"/>
    </xf>
    <xf numFmtId="4" fontId="109" fillId="79" borderId="40" applyNumberFormat="0" applyProtection="0">
      <alignment horizontal="right" vertical="center"/>
    </xf>
    <xf numFmtId="4" fontId="109" fillId="80" borderId="40" applyNumberFormat="0" applyProtection="0">
      <alignment horizontal="right" vertical="center"/>
    </xf>
    <xf numFmtId="4" fontId="109" fillId="81" borderId="40" applyNumberFormat="0" applyProtection="0">
      <alignment horizontal="right" vertical="center"/>
    </xf>
    <xf numFmtId="4" fontId="109" fillId="74" borderId="40" applyNumberFormat="0" applyProtection="0">
      <alignment horizontal="right" vertical="center"/>
    </xf>
    <xf numFmtId="4" fontId="109" fillId="82" borderId="40" applyNumberFormat="0" applyProtection="0">
      <alignment horizontal="right" vertical="center"/>
    </xf>
    <xf numFmtId="4" fontId="109" fillId="83" borderId="40" applyNumberFormat="0" applyProtection="0">
      <alignment horizontal="right" vertical="center"/>
    </xf>
    <xf numFmtId="4" fontId="109" fillId="71" borderId="40" applyNumberFormat="0" applyProtection="0">
      <alignment horizontal="right" vertical="center"/>
    </xf>
    <xf numFmtId="4" fontId="109" fillId="72" borderId="40" applyNumberFormat="0" applyProtection="0">
      <alignment horizontal="right" vertical="center"/>
    </xf>
    <xf numFmtId="4" fontId="107" fillId="84" borderId="41">
      <alignment horizontal="left" vertical="center" indent="1"/>
    </xf>
    <xf numFmtId="4" fontId="107" fillId="85" borderId="0">
      <alignment horizontal="left" vertical="center" indent="1"/>
    </xf>
    <xf numFmtId="4" fontId="107" fillId="78" borderId="0">
      <alignment horizontal="left" vertical="center" indent="1"/>
    </xf>
    <xf numFmtId="4" fontId="109" fillId="85" borderId="40">
      <alignment horizontal="right" vertical="center"/>
    </xf>
    <xf numFmtId="4" fontId="109" fillId="85" borderId="0">
      <alignment horizontal="left" vertical="center" indent="1"/>
    </xf>
    <xf numFmtId="4" fontId="21" fillId="85" borderId="0">
      <alignment horizontal="left" vertical="center" indent="1"/>
    </xf>
    <xf numFmtId="0" fontId="18" fillId="73" borderId="42" applyNumberFormat="0" applyFont="0" applyAlignment="0"/>
    <xf numFmtId="0" fontId="18" fillId="41" borderId="43" applyNumberFormat="0" applyAlignment="0"/>
    <xf numFmtId="0" fontId="106" fillId="38" borderId="44">
      <alignment horizontal="left" vertical="center"/>
    </xf>
    <xf numFmtId="0" fontId="18" fillId="73" borderId="45" applyNumberFormat="0" applyFont="0" applyAlignment="0"/>
    <xf numFmtId="4" fontId="21" fillId="78" borderId="0">
      <alignment horizontal="left" vertical="center" indent="1"/>
    </xf>
    <xf numFmtId="4" fontId="109" fillId="69" borderId="40">
      <alignment vertical="center"/>
    </xf>
    <xf numFmtId="4" fontId="110" fillId="69" borderId="40">
      <alignment vertical="center"/>
    </xf>
    <xf numFmtId="4" fontId="104" fillId="72" borderId="46">
      <alignment vertical="center"/>
    </xf>
    <xf numFmtId="4" fontId="105" fillId="72" borderId="46">
      <alignment vertical="center"/>
    </xf>
    <xf numFmtId="4" fontId="104" fillId="77" borderId="46">
      <alignment vertical="center"/>
    </xf>
    <xf numFmtId="4" fontId="105" fillId="77" borderId="46">
      <alignment vertical="center"/>
    </xf>
    <xf numFmtId="4" fontId="107" fillId="85" borderId="47">
      <alignment horizontal="left" vertical="center" indent="1"/>
    </xf>
    <xf numFmtId="4" fontId="109" fillId="69" borderId="40">
      <alignment horizontal="right" vertical="center"/>
    </xf>
    <xf numFmtId="4" fontId="110" fillId="69" borderId="40">
      <alignment horizontal="right" vertical="center"/>
    </xf>
    <xf numFmtId="4" fontId="35" fillId="72" borderId="46">
      <alignment vertical="center"/>
    </xf>
    <xf numFmtId="4" fontId="102" fillId="72" borderId="46">
      <alignment vertical="center"/>
    </xf>
    <xf numFmtId="4" fontId="35" fillId="77" borderId="46">
      <alignment vertical="center"/>
    </xf>
    <xf numFmtId="4" fontId="102" fillId="70" borderId="46">
      <alignment vertical="center"/>
    </xf>
    <xf numFmtId="4" fontId="107" fillId="85" borderId="40">
      <alignment horizontal="left" vertical="center" indent="1"/>
    </xf>
    <xf numFmtId="4" fontId="107" fillId="85" borderId="40">
      <alignment horizontal="right" vertical="center"/>
    </xf>
    <xf numFmtId="4" fontId="107" fillId="85" borderId="40">
      <alignment horizontal="left" vertical="center" indent="1"/>
    </xf>
    <xf numFmtId="4" fontId="107" fillId="69" borderId="40">
      <alignment horizontal="left" vertical="center" indent="1"/>
    </xf>
    <xf numFmtId="4" fontId="107" fillId="69" borderId="40">
      <alignment vertical="center"/>
    </xf>
    <xf numFmtId="4" fontId="108" fillId="69" borderId="40">
      <alignment vertical="center"/>
    </xf>
    <xf numFmtId="4" fontId="31" fillId="72" borderId="48">
      <alignment vertical="center"/>
    </xf>
    <xf numFmtId="4" fontId="103" fillId="72" borderId="48">
      <alignment vertical="center"/>
    </xf>
    <xf numFmtId="4" fontId="31" fillId="77" borderId="46">
      <alignment vertical="center"/>
    </xf>
    <xf numFmtId="4" fontId="103" fillId="77" borderId="46">
      <alignment vertical="center"/>
    </xf>
    <xf numFmtId="4" fontId="107" fillId="35" borderId="40">
      <alignment horizontal="left" vertical="center" indent="1"/>
    </xf>
    <xf numFmtId="4" fontId="112" fillId="38" borderId="49">
      <alignment horizontal="left" vertical="center" indent="1"/>
    </xf>
    <xf numFmtId="4" fontId="111" fillId="69" borderId="40">
      <alignment horizontal="right" vertical="center"/>
    </xf>
    <xf numFmtId="0" fontId="1" fillId="0" borderId="0"/>
    <xf numFmtId="169" fontId="1" fillId="0" borderId="0" applyFont="0" applyFill="0" applyBorder="0" applyAlignment="0" applyProtection="0"/>
    <xf numFmtId="169" fontId="7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169" fontId="79" fillId="0" borderId="0" applyFont="0" applyFill="0" applyBorder="0" applyAlignment="0" applyProtection="0"/>
    <xf numFmtId="0" fontId="1" fillId="0" borderId="0"/>
    <xf numFmtId="169" fontId="7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8" fillId="68" borderId="0"/>
    <xf numFmtId="4" fontId="107" fillId="43" borderId="40">
      <alignment vertical="center"/>
    </xf>
    <xf numFmtId="4" fontId="108" fillId="43" borderId="40">
      <alignment vertical="center"/>
    </xf>
    <xf numFmtId="4" fontId="109" fillId="43" borderId="40">
      <alignment horizontal="left" vertical="center" indent="1"/>
    </xf>
    <xf numFmtId="4" fontId="109" fillId="78" borderId="0">
      <alignment horizontal="left" vertical="center" indent="1"/>
    </xf>
    <xf numFmtId="4" fontId="109" fillId="70" borderId="40" applyNumberFormat="0" applyProtection="0">
      <alignment horizontal="right" vertical="center"/>
    </xf>
    <xf numFmtId="4" fontId="109" fillId="79" borderId="40" applyNumberFormat="0" applyProtection="0">
      <alignment horizontal="right" vertical="center"/>
    </xf>
    <xf numFmtId="4" fontId="109" fillId="80" borderId="40" applyNumberFormat="0" applyProtection="0">
      <alignment horizontal="right" vertical="center"/>
    </xf>
    <xf numFmtId="4" fontId="109" fillId="81" borderId="40" applyNumberFormat="0" applyProtection="0">
      <alignment horizontal="right" vertical="center"/>
    </xf>
    <xf numFmtId="4" fontId="109" fillId="74" borderId="40" applyNumberFormat="0" applyProtection="0">
      <alignment horizontal="right" vertical="center"/>
    </xf>
    <xf numFmtId="4" fontId="109" fillId="82" borderId="40" applyNumberFormat="0" applyProtection="0">
      <alignment horizontal="right" vertical="center"/>
    </xf>
    <xf numFmtId="4" fontId="109" fillId="83" borderId="40" applyNumberFormat="0" applyProtection="0">
      <alignment horizontal="right" vertical="center"/>
    </xf>
    <xf numFmtId="4" fontId="109" fillId="71" borderId="40" applyNumberFormat="0" applyProtection="0">
      <alignment horizontal="right" vertical="center"/>
    </xf>
    <xf numFmtId="4" fontId="109" fillId="72" borderId="40" applyNumberFormat="0" applyProtection="0">
      <alignment horizontal="right" vertical="center"/>
    </xf>
    <xf numFmtId="4" fontId="107" fillId="84" borderId="41">
      <alignment horizontal="left" vertical="center" indent="1"/>
    </xf>
    <xf numFmtId="4" fontId="107" fillId="85" borderId="0">
      <alignment horizontal="left" vertical="center" indent="1"/>
    </xf>
    <xf numFmtId="4" fontId="107" fillId="78" borderId="0">
      <alignment horizontal="left" vertical="center" indent="1"/>
    </xf>
    <xf numFmtId="4" fontId="109" fillId="85" borderId="40">
      <alignment horizontal="right" vertical="center"/>
    </xf>
    <xf numFmtId="4" fontId="109" fillId="85" borderId="0">
      <alignment horizontal="left" vertical="center" indent="1"/>
    </xf>
    <xf numFmtId="4" fontId="21" fillId="85" borderId="0">
      <alignment horizontal="left" vertical="center" indent="1"/>
    </xf>
    <xf numFmtId="0" fontId="18" fillId="73" borderId="42" applyNumberFormat="0" applyFont="0" applyAlignment="0"/>
    <xf numFmtId="0" fontId="18" fillId="41" borderId="43" applyNumberFormat="0" applyAlignment="0"/>
    <xf numFmtId="0" fontId="106" fillId="38" borderId="44">
      <alignment horizontal="left" vertical="center"/>
    </xf>
    <xf numFmtId="0" fontId="18" fillId="73" borderId="45" applyNumberFormat="0" applyFont="0" applyAlignment="0"/>
    <xf numFmtId="4" fontId="21" fillId="78" borderId="0">
      <alignment horizontal="left" vertical="center" indent="1"/>
    </xf>
    <xf numFmtId="4" fontId="109" fillId="69" borderId="40">
      <alignment vertical="center"/>
    </xf>
    <xf numFmtId="4" fontId="110" fillId="69" borderId="40">
      <alignment vertical="center"/>
    </xf>
    <xf numFmtId="4" fontId="107" fillId="85" borderId="47">
      <alignment horizontal="left" vertical="center" indent="1"/>
    </xf>
    <xf numFmtId="4" fontId="109" fillId="69" borderId="40">
      <alignment horizontal="right" vertical="center"/>
    </xf>
    <xf numFmtId="4" fontId="110" fillId="69" borderId="40">
      <alignment horizontal="right" vertical="center"/>
    </xf>
    <xf numFmtId="4" fontId="107" fillId="85" borderId="40">
      <alignment horizontal="left" vertical="center" indent="1"/>
    </xf>
    <xf numFmtId="4" fontId="107" fillId="85" borderId="40">
      <alignment horizontal="right" vertical="center"/>
    </xf>
    <xf numFmtId="4" fontId="107" fillId="85" borderId="40">
      <alignment horizontal="left" vertical="center" indent="1"/>
    </xf>
    <xf numFmtId="4" fontId="107" fillId="69" borderId="40">
      <alignment horizontal="left" vertical="center" indent="1"/>
    </xf>
    <xf numFmtId="4" fontId="107" fillId="69" borderId="40">
      <alignment vertical="center"/>
    </xf>
    <xf numFmtId="4" fontId="108" fillId="69" borderId="40">
      <alignment vertical="center"/>
    </xf>
    <xf numFmtId="169" fontId="1" fillId="0" borderId="0" applyFont="0" applyFill="0" applyBorder="0" applyAlignment="0" applyProtection="0"/>
    <xf numFmtId="4" fontId="107" fillId="35" borderId="40">
      <alignment horizontal="left" vertical="center" indent="1"/>
    </xf>
    <xf numFmtId="0" fontId="1" fillId="0" borderId="0"/>
    <xf numFmtId="4" fontId="111" fillId="69" borderId="40">
      <alignment horizontal="right" vertical="center"/>
    </xf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13" fillId="0" borderId="0"/>
    <xf numFmtId="4" fontId="107" fillId="85" borderId="40">
      <alignment horizontal="left" vertical="center" indent="1"/>
    </xf>
    <xf numFmtId="0" fontId="29" fillId="0" borderId="0"/>
    <xf numFmtId="4" fontId="107" fillId="85" borderId="40">
      <alignment horizontal="left" vertical="center" indent="1"/>
    </xf>
    <xf numFmtId="0" fontId="1" fillId="0" borderId="0"/>
    <xf numFmtId="4" fontId="107" fillId="85" borderId="40">
      <alignment horizontal="left" vertical="center" indent="1"/>
    </xf>
    <xf numFmtId="0" fontId="113" fillId="0" borderId="0"/>
    <xf numFmtId="0" fontId="18" fillId="0" borderId="0"/>
    <xf numFmtId="0" fontId="114" fillId="0" borderId="0"/>
    <xf numFmtId="201" fontId="18" fillId="0" borderId="0" applyFont="0" applyFill="0" applyBorder="0" applyAlignment="0" applyProtection="0"/>
    <xf numFmtId="0" fontId="97" fillId="0" borderId="0">
      <alignment horizontal="centerContinuous"/>
    </xf>
    <xf numFmtId="197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202" fontId="68" fillId="0" borderId="0"/>
    <xf numFmtId="202" fontId="68" fillId="0" borderId="0"/>
    <xf numFmtId="0" fontId="115" fillId="0" borderId="0"/>
    <xf numFmtId="169" fontId="1" fillId="0" borderId="0" applyFont="0" applyFill="0" applyBorder="0" applyAlignment="0" applyProtection="0"/>
    <xf numFmtId="0" fontId="113" fillId="0" borderId="0"/>
    <xf numFmtId="0" fontId="113" fillId="0" borderId="0"/>
    <xf numFmtId="43" fontId="1" fillId="0" borderId="0" applyFont="0" applyFill="0" applyBorder="0" applyAlignment="0" applyProtection="0"/>
    <xf numFmtId="4" fontId="107" fillId="85" borderId="40">
      <alignment horizontal="left" vertical="center" indent="1"/>
    </xf>
    <xf numFmtId="0" fontId="1" fillId="0" borderId="0"/>
    <xf numFmtId="4" fontId="107" fillId="85" borderId="40">
      <alignment horizontal="left" vertical="center" indent="1"/>
    </xf>
    <xf numFmtId="0" fontId="1" fillId="0" borderId="0"/>
    <xf numFmtId="4" fontId="107" fillId="85" borderId="40">
      <alignment horizontal="left" vertical="center" indent="1"/>
    </xf>
    <xf numFmtId="4" fontId="107" fillId="85" borderId="40">
      <alignment horizontal="left" vertical="center" indent="1"/>
    </xf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" fontId="107" fillId="85" borderId="40">
      <alignment horizontal="left" vertical="center" indent="1"/>
    </xf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4" fontId="107" fillId="85" borderId="40">
      <alignment horizontal="left" vertical="center" indent="1"/>
    </xf>
    <xf numFmtId="4" fontId="107" fillId="85" borderId="40">
      <alignment horizontal="left" vertical="center" indent="1"/>
    </xf>
    <xf numFmtId="169" fontId="1" fillId="0" borderId="0" applyFont="0" applyFill="0" applyBorder="0" applyAlignment="0" applyProtection="0"/>
    <xf numFmtId="0" fontId="18" fillId="0" borderId="0"/>
    <xf numFmtId="0" fontId="18" fillId="0" borderId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18" fillId="0" borderId="0"/>
    <xf numFmtId="0" fontId="18" fillId="68" borderId="0"/>
    <xf numFmtId="0" fontId="18" fillId="68" borderId="0"/>
    <xf numFmtId="16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17" fillId="0" borderId="0" applyFont="0" applyFill="0" applyBorder="0" applyAlignment="0" applyProtection="0"/>
    <xf numFmtId="43" fontId="79" fillId="0" borderId="0" applyFont="0" applyFill="0" applyBorder="0" applyAlignment="0" applyProtection="0"/>
    <xf numFmtId="169" fontId="117" fillId="0" borderId="0" applyFont="0" applyFill="0" applyBorder="0" applyAlignment="0" applyProtection="0"/>
    <xf numFmtId="0" fontId="18" fillId="0" borderId="0"/>
    <xf numFmtId="0" fontId="18" fillId="0" borderId="0"/>
    <xf numFmtId="205" fontId="118" fillId="0" borderId="0" applyBorder="0">
      <alignment vertical="center"/>
      <protection locked="0"/>
    </xf>
    <xf numFmtId="205" fontId="1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19" fillId="0" borderId="0" applyBorder="0">
      <alignment vertical="center"/>
      <protection locked="0"/>
    </xf>
    <xf numFmtId="0" fontId="18" fillId="0" borderId="0"/>
    <xf numFmtId="0" fontId="18" fillId="0" borderId="0"/>
    <xf numFmtId="205" fontId="119" fillId="0" borderId="0" applyBorder="0">
      <alignment vertical="center"/>
      <protection locked="0"/>
    </xf>
    <xf numFmtId="205" fontId="119" fillId="0" borderId="0" applyBorder="0">
      <alignment vertical="center"/>
      <protection locked="0"/>
    </xf>
    <xf numFmtId="0" fontId="18" fillId="0" borderId="0"/>
    <xf numFmtId="205" fontId="118" fillId="0" borderId="0" applyBorder="0">
      <alignment vertical="center"/>
      <protection locked="0"/>
    </xf>
    <xf numFmtId="205" fontId="1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0" fontId="18" fillId="0" borderId="0"/>
    <xf numFmtId="205" fontId="119" fillId="0" borderId="0" applyBorder="0">
      <alignment vertical="center"/>
      <protection locked="0"/>
    </xf>
    <xf numFmtId="205" fontId="118" fillId="0" borderId="0" applyBorder="0">
      <alignment vertical="center"/>
      <protection locked="0"/>
    </xf>
    <xf numFmtId="205" fontId="1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205" fontId="18" fillId="0" borderId="0" applyBorder="0">
      <alignment vertical="center"/>
      <protection locked="0"/>
    </xf>
    <xf numFmtId="0" fontId="18" fillId="0" borderId="0"/>
    <xf numFmtId="0" fontId="18" fillId="0" borderId="0"/>
    <xf numFmtId="0" fontId="18" fillId="0" borderId="0"/>
    <xf numFmtId="205" fontId="119" fillId="0" borderId="0" applyBorder="0">
      <alignment vertical="center"/>
      <protection locked="0"/>
    </xf>
    <xf numFmtId="0" fontId="18" fillId="0" borderId="0"/>
    <xf numFmtId="0" fontId="18" fillId="78" borderId="30" applyNumberFormat="0">
      <alignment horizontal="left" vertical="center"/>
    </xf>
    <xf numFmtId="0" fontId="21" fillId="0" borderId="0">
      <alignment vertical="top"/>
    </xf>
    <xf numFmtId="0" fontId="50" fillId="0" borderId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8" fillId="0" borderId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8" fillId="0" borderId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206" fontId="62" fillId="0" borderId="0" applyFont="0" applyFill="0" applyBorder="0" applyAlignment="0" applyProtection="0"/>
    <xf numFmtId="207" fontId="62" fillId="0" borderId="0" applyFont="0" applyFill="0" applyBorder="0" applyAlignment="0" applyProtection="0"/>
    <xf numFmtId="0" fontId="18" fillId="0" borderId="0"/>
    <xf numFmtId="208" fontId="121" fillId="0" borderId="0">
      <alignment horizontal="left"/>
    </xf>
    <xf numFmtId="209" fontId="122" fillId="0" borderId="0">
      <alignment horizontal="left"/>
    </xf>
    <xf numFmtId="210" fontId="46" fillId="0" borderId="0" applyFont="0" applyFill="0" applyBorder="0" applyAlignment="0" applyProtection="0">
      <alignment vertical="top"/>
    </xf>
    <xf numFmtId="0" fontId="123" fillId="86" borderId="22">
      <alignment horizontal="center"/>
    </xf>
    <xf numFmtId="0" fontId="21" fillId="34" borderId="0"/>
    <xf numFmtId="0" fontId="21" fillId="34" borderId="0"/>
    <xf numFmtId="0" fontId="124" fillId="34" borderId="0">
      <alignment horizontal="center"/>
    </xf>
    <xf numFmtId="0" fontId="125" fillId="34" borderId="0">
      <alignment horizontal="left"/>
    </xf>
    <xf numFmtId="0" fontId="52" fillId="0" borderId="0"/>
    <xf numFmtId="43" fontId="18" fillId="0" borderId="0"/>
    <xf numFmtId="211" fontId="126" fillId="0" borderId="0" applyFont="0" applyFill="0" applyBorder="0" applyAlignment="0" applyProtection="0"/>
    <xf numFmtId="212" fontId="126" fillId="0" borderId="0" applyFont="0" applyFill="0" applyBorder="0" applyAlignment="0" applyProtection="0"/>
    <xf numFmtId="0" fontId="38" fillId="0" borderId="0"/>
    <xf numFmtId="0" fontId="127" fillId="0" borderId="11">
      <protection hidden="1"/>
    </xf>
    <xf numFmtId="0" fontId="128" fillId="64" borderId="11" applyNumberFormat="0" applyFont="0" applyBorder="0" applyAlignment="0" applyProtection="0">
      <protection hidden="1"/>
    </xf>
    <xf numFmtId="0" fontId="129" fillId="34" borderId="0"/>
    <xf numFmtId="0" fontId="130" fillId="73" borderId="0">
      <alignment vertical="center"/>
    </xf>
    <xf numFmtId="0" fontId="122" fillId="0" borderId="0" applyFont="0" applyFill="0" applyBorder="0" applyAlignment="0" applyProtection="0">
      <alignment horizontal="right"/>
    </xf>
    <xf numFmtId="0" fontId="131" fillId="0" borderId="23" applyNumberFormat="0" applyFill="0" applyAlignment="0" applyProtection="0"/>
    <xf numFmtId="164" fontId="132" fillId="0" borderId="24" applyAlignment="0" applyProtection="0"/>
    <xf numFmtId="213" fontId="133" fillId="0" borderId="50" applyNumberFormat="0" applyFont="0" applyFill="0" applyAlignment="0" applyProtection="0">
      <alignment vertical="center"/>
    </xf>
    <xf numFmtId="0" fontId="24" fillId="0" borderId="51" applyFill="0" applyProtection="0">
      <alignment horizontal="right"/>
    </xf>
    <xf numFmtId="0" fontId="86" fillId="87" borderId="0" applyNumberFormat="0" applyBorder="0" applyAlignment="0" applyProtection="0"/>
    <xf numFmtId="0" fontId="86" fillId="87" borderId="0" applyNumberFormat="0" applyBorder="0" applyAlignment="0" applyProtection="0"/>
    <xf numFmtId="214" fontId="62" fillId="0" borderId="0" applyFont="0" applyFill="0" applyBorder="0" applyAlignment="0" applyProtection="0"/>
    <xf numFmtId="215" fontId="33" fillId="0" borderId="0" applyFill="0"/>
    <xf numFmtId="215" fontId="33" fillId="0" borderId="0">
      <alignment horizontal="center"/>
    </xf>
    <xf numFmtId="0" fontId="33" fillId="0" borderId="0" applyFill="0">
      <alignment horizontal="center"/>
    </xf>
    <xf numFmtId="215" fontId="134" fillId="0" borderId="52" applyFill="0"/>
    <xf numFmtId="0" fontId="18" fillId="0" borderId="0" applyFont="0" applyAlignment="0"/>
    <xf numFmtId="0" fontId="135" fillId="0" borderId="0" applyFill="0">
      <alignment vertical="top"/>
    </xf>
    <xf numFmtId="0" fontId="134" fillId="0" borderId="0" applyFill="0">
      <alignment horizontal="left" vertical="top"/>
    </xf>
    <xf numFmtId="215" fontId="58" fillId="0" borderId="24" applyFill="0"/>
    <xf numFmtId="0" fontId="18" fillId="0" borderId="0" applyNumberFormat="0" applyFont="0" applyAlignment="0"/>
    <xf numFmtId="0" fontId="135" fillId="0" borderId="0" applyFill="0">
      <alignment wrapText="1"/>
    </xf>
    <xf numFmtId="0" fontId="134" fillId="0" borderId="0" applyFill="0">
      <alignment horizontal="left" vertical="top" wrapText="1"/>
    </xf>
    <xf numFmtId="215" fontId="30" fillId="0" borderId="0" applyFill="0"/>
    <xf numFmtId="0" fontId="136" fillId="0" borderId="0" applyNumberFormat="0" applyFont="0" applyAlignment="0">
      <alignment horizontal="center"/>
    </xf>
    <xf numFmtId="0" fontId="137" fillId="0" borderId="0" applyFill="0">
      <alignment vertical="top" wrapText="1"/>
    </xf>
    <xf numFmtId="0" fontId="58" fillId="0" borderId="0" applyFill="0">
      <alignment horizontal="left" vertical="top" wrapText="1"/>
    </xf>
    <xf numFmtId="215" fontId="18" fillId="0" borderId="0" applyFill="0"/>
    <xf numFmtId="0" fontId="136" fillId="0" borderId="0" applyNumberFormat="0" applyFont="0" applyAlignment="0">
      <alignment horizontal="center"/>
    </xf>
    <xf numFmtId="0" fontId="138" fillId="0" borderId="0" applyFill="0">
      <alignment vertical="center" wrapText="1"/>
    </xf>
    <xf numFmtId="0" fontId="29" fillId="0" borderId="0">
      <alignment horizontal="left" vertical="center" wrapText="1"/>
    </xf>
    <xf numFmtId="215" fontId="42" fillId="0" borderId="0" applyFill="0"/>
    <xf numFmtId="0" fontId="136" fillId="0" borderId="0" applyNumberFormat="0" applyFont="0" applyAlignment="0">
      <alignment horizontal="center"/>
    </xf>
    <xf numFmtId="0" fontId="139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215" fontId="140" fillId="0" borderId="0" applyFill="0"/>
    <xf numFmtId="0" fontId="136" fillId="0" borderId="0" applyNumberFormat="0" applyFont="0" applyAlignment="0">
      <alignment horizontal="center"/>
    </xf>
    <xf numFmtId="0" fontId="141" fillId="0" borderId="0" applyFill="0">
      <alignment horizontal="center" vertical="center" wrapText="1"/>
    </xf>
    <xf numFmtId="0" fontId="142" fillId="0" borderId="0" applyFill="0">
      <alignment horizontal="center" vertical="center" wrapText="1"/>
    </xf>
    <xf numFmtId="215" fontId="143" fillId="0" borderId="0" applyFill="0"/>
    <xf numFmtId="0" fontId="136" fillId="0" borderId="0" applyNumberFormat="0" applyFont="0" applyAlignment="0">
      <alignment horizontal="center"/>
    </xf>
    <xf numFmtId="0" fontId="144" fillId="0" borderId="0">
      <alignment horizontal="center" wrapText="1"/>
    </xf>
    <xf numFmtId="0" fontId="140" fillId="0" borderId="0" applyFill="0">
      <alignment horizontal="center" wrapText="1"/>
    </xf>
    <xf numFmtId="0" fontId="14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46" fillId="88" borderId="0"/>
    <xf numFmtId="216" fontId="18" fillId="0" borderId="0" applyFill="0" applyBorder="0" applyAlignment="0"/>
    <xf numFmtId="216" fontId="18" fillId="0" borderId="0" applyFill="0" applyBorder="0" applyAlignment="0"/>
    <xf numFmtId="216" fontId="18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0" fontId="146" fillId="88" borderId="0"/>
    <xf numFmtId="0" fontId="148" fillId="89" borderId="30" applyNumberFormat="0" applyAlignment="0" applyProtection="0"/>
    <xf numFmtId="0" fontId="68" fillId="0" borderId="0"/>
    <xf numFmtId="0" fontId="149" fillId="0" borderId="0"/>
    <xf numFmtId="0" fontId="84" fillId="90" borderId="31" applyNumberFormat="0" applyAlignment="0" applyProtection="0"/>
    <xf numFmtId="0" fontId="84" fillId="90" borderId="31" applyNumberFormat="0" applyAlignment="0" applyProtection="0"/>
    <xf numFmtId="0" fontId="150" fillId="0" borderId="32" applyNumberFormat="0" applyFill="0" applyAlignment="0" applyProtection="0"/>
    <xf numFmtId="0" fontId="150" fillId="0" borderId="32" applyNumberFormat="0" applyFill="0" applyAlignment="0" applyProtection="0"/>
    <xf numFmtId="165" fontId="18" fillId="0" borderId="53" applyFont="0" applyFill="0" applyBorder="0" applyProtection="0">
      <alignment horizontal="right"/>
    </xf>
    <xf numFmtId="0" fontId="28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205" fontId="152" fillId="43" borderId="0">
      <protection locked="0"/>
    </xf>
    <xf numFmtId="205" fontId="153" fillId="0" borderId="28" applyBorder="0">
      <protection locked="0"/>
    </xf>
    <xf numFmtId="0" fontId="27" fillId="0" borderId="14">
      <alignment horizontal="left" wrapText="1"/>
    </xf>
    <xf numFmtId="0" fontId="147" fillId="0" borderId="0" applyFont="0" applyFill="0" applyBorder="0" applyAlignment="0" applyProtection="0"/>
    <xf numFmtId="217" fontId="154" fillId="0" borderId="0" applyFont="0" applyFill="0" applyBorder="0" applyAlignment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18" fillId="0" borderId="0" applyFont="0" applyFill="0" applyBorder="0" applyProtection="0">
      <alignment horizontal="right"/>
    </xf>
    <xf numFmtId="0" fontId="60" fillId="0" borderId="0"/>
    <xf numFmtId="0" fontId="60" fillId="0" borderId="0"/>
    <xf numFmtId="205" fontId="19" fillId="0" borderId="0" applyFill="0" applyBorder="0">
      <protection locked="0"/>
    </xf>
    <xf numFmtId="0" fontId="147" fillId="0" borderId="0" applyFont="0" applyFill="0" applyBorder="0" applyAlignment="0" applyProtection="0"/>
    <xf numFmtId="218" fontId="33" fillId="0" borderId="0" applyFont="0" applyFill="0" applyBorder="0" applyAlignment="0"/>
    <xf numFmtId="165" fontId="18" fillId="0" borderId="54">
      <protection locked="0"/>
    </xf>
    <xf numFmtId="219" fontId="19" fillId="0" borderId="0" applyFill="0" applyBorder="0">
      <protection locked="0"/>
    </xf>
    <xf numFmtId="219" fontId="18" fillId="0" borderId="0" applyFill="0" applyBorder="0"/>
    <xf numFmtId="220" fontId="154" fillId="0" borderId="0" applyFont="0" applyFill="0" applyBorder="0" applyAlignment="0" applyProtection="0">
      <alignment horizontal="right"/>
    </xf>
    <xf numFmtId="221" fontId="62" fillId="0" borderId="0" applyFont="0" applyFill="0" applyBorder="0" applyAlignment="0" applyProtection="0"/>
    <xf numFmtId="222" fontId="54" fillId="0" borderId="0">
      <protection locked="0"/>
    </xf>
    <xf numFmtId="22" fontId="155" fillId="0" borderId="0">
      <alignment horizontal="left"/>
    </xf>
    <xf numFmtId="223" fontId="34" fillId="35" borderId="29" applyFont="0" applyFill="0" applyBorder="0" applyAlignment="0" applyProtection="0"/>
    <xf numFmtId="223" fontId="33" fillId="35" borderId="0" applyFont="0" applyFill="0" applyBorder="0" applyAlignment="0" applyProtection="0"/>
    <xf numFmtId="17" fontId="32" fillId="0" borderId="0" applyFill="0" applyBorder="0">
      <alignment horizontal="right"/>
    </xf>
    <xf numFmtId="204" fontId="32" fillId="0" borderId="23"/>
    <xf numFmtId="224" fontId="154" fillId="0" borderId="0" applyFont="0" applyFill="0" applyBorder="0" applyAlignment="0" applyProtection="0"/>
    <xf numFmtId="14" fontId="21" fillId="0" borderId="0" applyFill="0" applyBorder="0" applyAlignment="0"/>
    <xf numFmtId="15" fontId="19" fillId="0" borderId="0" applyFill="0" applyBorder="0">
      <protection locked="0"/>
    </xf>
    <xf numFmtId="15" fontId="18" fillId="0" borderId="0" applyFont="0" applyFill="0" applyBorder="0" applyProtection="0">
      <alignment horizontal="right"/>
    </xf>
    <xf numFmtId="223" fontId="32" fillId="0" borderId="0" applyFill="0" applyBorder="0">
      <alignment horizontal="right"/>
    </xf>
    <xf numFmtId="225" fontId="156" fillId="88" borderId="0" applyFont="0" applyFill="0" applyBorder="0" applyAlignment="0" applyProtection="0">
      <alignment vertical="center"/>
    </xf>
    <xf numFmtId="0" fontId="19" fillId="0" borderId="55" applyNumberFormat="0">
      <protection locked="0"/>
    </xf>
    <xf numFmtId="1" fontId="18" fillId="0" borderId="0" applyFill="0" applyBorder="0">
      <alignment horizontal="right"/>
    </xf>
    <xf numFmtId="2" fontId="18" fillId="0" borderId="0" applyFill="0" applyBorder="0">
      <alignment horizontal="right"/>
    </xf>
    <xf numFmtId="2" fontId="19" fillId="0" borderId="0" applyFill="0" applyBorder="0">
      <protection locked="0"/>
    </xf>
    <xf numFmtId="186" fontId="18" fillId="0" borderId="0" applyFill="0" applyBorder="0">
      <alignment horizontal="right"/>
    </xf>
    <xf numFmtId="186" fontId="19" fillId="0" borderId="0" applyFill="0" applyBorder="0">
      <protection locked="0"/>
    </xf>
    <xf numFmtId="226" fontId="18" fillId="0" borderId="0" applyFont="0" applyFill="0" applyBorder="0" applyAlignment="0" applyProtection="0"/>
    <xf numFmtId="37" fontId="131" fillId="91" borderId="56" applyNumberFormat="0" applyAlignment="0">
      <alignment horizontal="left"/>
    </xf>
    <xf numFmtId="0" fontId="54" fillId="0" borderId="0">
      <protection locked="0"/>
    </xf>
    <xf numFmtId="0" fontId="18" fillId="0" borderId="0"/>
    <xf numFmtId="0" fontId="27" fillId="0" borderId="0"/>
    <xf numFmtId="227" fontId="154" fillId="0" borderId="57" applyNumberFormat="0" applyFont="0" applyFill="0" applyAlignment="0" applyProtection="0"/>
    <xf numFmtId="0" fontId="157" fillId="0" borderId="0">
      <protection locked="0"/>
    </xf>
    <xf numFmtId="0" fontId="157" fillId="0" borderId="0">
      <protection locked="0"/>
    </xf>
    <xf numFmtId="0" fontId="98" fillId="0" borderId="0" applyNumberFormat="0" applyFill="0" applyBorder="0" applyAlignment="0" applyProtection="0"/>
    <xf numFmtId="0" fontId="95" fillId="92" borderId="0" applyNumberFormat="0" applyBorder="0" applyAlignment="0" applyProtection="0"/>
    <xf numFmtId="0" fontId="95" fillId="93" borderId="0" applyNumberFormat="0" applyBorder="0" applyAlignment="0" applyProtection="0"/>
    <xf numFmtId="0" fontId="95" fillId="94" borderId="0" applyNumberFormat="0" applyBorder="0" applyAlignment="0" applyProtection="0"/>
    <xf numFmtId="0" fontId="79" fillId="95" borderId="0" applyNumberFormat="0" applyBorder="0" applyAlignment="0" applyProtection="0"/>
    <xf numFmtId="0" fontId="79" fillId="96" borderId="0" applyNumberFormat="0" applyBorder="0" applyAlignment="0" applyProtection="0"/>
    <xf numFmtId="0" fontId="81" fillId="97" borderId="0" applyNumberFormat="0" applyBorder="0" applyAlignment="0" applyProtection="0"/>
    <xf numFmtId="0" fontId="81" fillId="98" borderId="0" applyNumberFormat="0" applyBorder="0" applyAlignment="0" applyProtection="0"/>
    <xf numFmtId="0" fontId="79" fillId="95" borderId="0" applyNumberFormat="0" applyBorder="0" applyAlignment="0" applyProtection="0"/>
    <xf numFmtId="0" fontId="79" fillId="99" borderId="0" applyNumberFormat="0" applyBorder="0" applyAlignment="0" applyProtection="0"/>
    <xf numFmtId="0" fontId="81" fillId="90" borderId="0" applyNumberFormat="0" applyBorder="0" applyAlignment="0" applyProtection="0"/>
    <xf numFmtId="0" fontId="81" fillId="100" borderId="0" applyNumberFormat="0" applyBorder="0" applyAlignment="0" applyProtection="0"/>
    <xf numFmtId="0" fontId="81" fillId="100" borderId="0" applyNumberFormat="0" applyBorder="0" applyAlignment="0" applyProtection="0"/>
    <xf numFmtId="0" fontId="79" fillId="95" borderId="0" applyNumberFormat="0" applyBorder="0" applyAlignment="0" applyProtection="0"/>
    <xf numFmtId="0" fontId="79" fillId="95" borderId="0" applyNumberFormat="0" applyBorder="0" applyAlignment="0" applyProtection="0"/>
    <xf numFmtId="0" fontId="81" fillId="99" borderId="0" applyNumberFormat="0" applyBorder="0" applyAlignment="0" applyProtection="0"/>
    <xf numFmtId="0" fontId="81" fillId="90" borderId="0" applyNumberFormat="0" applyBorder="0" applyAlignment="0" applyProtection="0"/>
    <xf numFmtId="0" fontId="81" fillId="90" borderId="0" applyNumberFormat="0" applyBorder="0" applyAlignment="0" applyProtection="0"/>
    <xf numFmtId="0" fontId="79" fillId="95" borderId="0" applyNumberFormat="0" applyBorder="0" applyAlignment="0" applyProtection="0"/>
    <xf numFmtId="0" fontId="79" fillId="99" borderId="0" applyNumberFormat="0" applyBorder="0" applyAlignment="0" applyProtection="0"/>
    <xf numFmtId="0" fontId="81" fillId="99" borderId="0" applyNumberFormat="0" applyBorder="0" applyAlignment="0" applyProtection="0"/>
    <xf numFmtId="0" fontId="81" fillId="98" borderId="0" applyNumberFormat="0" applyBorder="0" applyAlignment="0" applyProtection="0"/>
    <xf numFmtId="0" fontId="79" fillId="95" borderId="0" applyNumberFormat="0" applyBorder="0" applyAlignment="0" applyProtection="0"/>
    <xf numFmtId="0" fontId="79" fillId="95" borderId="0" applyNumberFormat="0" applyBorder="0" applyAlignment="0" applyProtection="0"/>
    <xf numFmtId="0" fontId="81" fillId="97" borderId="0" applyNumberFormat="0" applyBorder="0" applyAlignment="0" applyProtection="0"/>
    <xf numFmtId="0" fontId="81" fillId="101" borderId="0" applyNumberFormat="0" applyBorder="0" applyAlignment="0" applyProtection="0"/>
    <xf numFmtId="0" fontId="81" fillId="101" borderId="0" applyNumberFormat="0" applyBorder="0" applyAlignment="0" applyProtection="0"/>
    <xf numFmtId="0" fontId="79" fillId="102" borderId="0" applyNumberFormat="0" applyBorder="0" applyAlignment="0" applyProtection="0"/>
    <xf numFmtId="0" fontId="79" fillId="102" borderId="0" applyNumberFormat="0" applyBorder="0" applyAlignment="0" applyProtection="0"/>
    <xf numFmtId="0" fontId="81" fillId="103" borderId="0" applyNumberFormat="0" applyBorder="0" applyAlignment="0" applyProtection="0"/>
    <xf numFmtId="0" fontId="81" fillId="104" borderId="0" applyNumberFormat="0" applyBorder="0" applyAlignment="0" applyProtection="0"/>
    <xf numFmtId="0" fontId="81" fillId="104" borderId="0" applyNumberFormat="0" applyBorder="0" applyAlignment="0" applyProtection="0"/>
    <xf numFmtId="0" fontId="147" fillId="0" borderId="0" applyFill="0" applyBorder="0" applyAlignment="0"/>
    <xf numFmtId="0" fontId="147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0" fontId="90" fillId="103" borderId="30" applyNumberFormat="0" applyAlignment="0" applyProtection="0"/>
    <xf numFmtId="0" fontId="90" fillId="103" borderId="30" applyNumberFormat="0" applyAlignment="0" applyProtection="0"/>
    <xf numFmtId="37" fontId="46" fillId="105" borderId="0" applyNumberFormat="0" applyFont="0" applyBorder="0" applyAlignment="0">
      <protection locked="0"/>
    </xf>
    <xf numFmtId="0" fontId="18" fillId="0" borderId="0"/>
    <xf numFmtId="0" fontId="18" fillId="0" borderId="0"/>
    <xf numFmtId="228" fontId="18" fillId="0" borderId="0" applyFont="0" applyFill="0" applyBorder="0" applyAlignment="0" applyProtection="0"/>
    <xf numFmtId="179" fontId="18" fillId="0" borderId="0"/>
    <xf numFmtId="179" fontId="18" fillId="0" borderId="0"/>
    <xf numFmtId="230" fontId="158" fillId="89" borderId="26">
      <alignment horizontal="left"/>
    </xf>
    <xf numFmtId="15" fontId="18" fillId="0" borderId="0" applyFont="0" applyFill="0" applyBorder="0" applyAlignment="0" applyProtection="0"/>
    <xf numFmtId="15" fontId="18" fillId="0" borderId="14" applyFill="0" applyBorder="0" applyProtection="0">
      <alignment horizontal="center" wrapText="1" shrinkToFit="1"/>
    </xf>
    <xf numFmtId="2" fontId="159" fillId="0" borderId="0" applyFill="0" applyBorder="0" applyAlignment="0" applyProtection="0"/>
    <xf numFmtId="0" fontId="54" fillId="0" borderId="0">
      <protection locked="0"/>
    </xf>
    <xf numFmtId="231" fontId="18" fillId="35" borderId="0" applyFont="0" applyFill="0" applyBorder="0" applyAlignment="0"/>
    <xf numFmtId="2" fontId="159" fillId="0" borderId="0" applyFont="0" applyFill="0" applyBorder="0" applyAlignment="0" applyProtection="0"/>
    <xf numFmtId="232" fontId="54" fillId="0" borderId="0">
      <protection locked="0"/>
    </xf>
    <xf numFmtId="0" fontId="160" fillId="0" borderId="0" applyFill="0" applyBorder="0" applyProtection="0">
      <alignment horizontal="left"/>
    </xf>
    <xf numFmtId="37" fontId="33" fillId="0" borderId="0"/>
    <xf numFmtId="38" fontId="33" fillId="64" borderId="0" applyNumberFormat="0" applyBorder="0" applyAlignment="0" applyProtection="0"/>
    <xf numFmtId="233" fontId="154" fillId="0" borderId="0" applyFont="0" applyFill="0" applyBorder="0" applyAlignment="0" applyProtection="0">
      <alignment horizontal="right"/>
    </xf>
    <xf numFmtId="0" fontId="161" fillId="0" borderId="0" applyProtection="0">
      <alignment horizontal="right"/>
    </xf>
    <xf numFmtId="0" fontId="162" fillId="106" borderId="58"/>
    <xf numFmtId="234" fontId="30" fillId="0" borderId="0" applyNumberFormat="0" applyFill="0" applyBorder="0" applyProtection="0">
      <alignment horizontal="right"/>
    </xf>
    <xf numFmtId="0" fontId="27" fillId="40" borderId="59">
      <alignment vertical="center" wrapText="1"/>
    </xf>
    <xf numFmtId="0" fontId="163" fillId="0" borderId="0" applyNumberFormat="0" applyFill="0" applyBorder="0"/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0" fontId="164" fillId="107" borderId="0" applyNumberFormat="0" applyBorder="0" applyAlignment="0" applyProtection="0"/>
    <xf numFmtId="0" fontId="164" fillId="107" borderId="0" applyNumberFormat="0" applyBorder="0" applyAlignment="0" applyProtection="0"/>
    <xf numFmtId="0" fontId="52" fillId="0" borderId="0"/>
    <xf numFmtId="235" fontId="62" fillId="0" borderId="0"/>
    <xf numFmtId="236" fontId="62" fillId="0" borderId="0"/>
    <xf numFmtId="237" fontId="62" fillId="0" borderId="0"/>
    <xf numFmtId="10" fontId="33" fillId="67" borderId="14" applyNumberFormat="0" applyBorder="0" applyAlignment="0" applyProtection="0"/>
    <xf numFmtId="205" fontId="165" fillId="0" borderId="11">
      <alignment vertical="center"/>
    </xf>
    <xf numFmtId="205" fontId="166" fillId="35" borderId="11" applyBorder="0"/>
    <xf numFmtId="205" fontId="119" fillId="0" borderId="26">
      <protection locked="0"/>
    </xf>
    <xf numFmtId="205" fontId="167" fillId="35" borderId="11" applyBorder="0"/>
    <xf numFmtId="238" fontId="168" fillId="108" borderId="0">
      <protection locked="0"/>
    </xf>
    <xf numFmtId="239" fontId="34" fillId="35" borderId="0" applyBorder="0" applyAlignment="0">
      <protection locked="0"/>
    </xf>
    <xf numFmtId="178" fontId="33" fillId="35" borderId="23" applyNumberFormat="0" applyFont="0" applyAlignment="0" applyProtection="0">
      <alignment horizontal="center"/>
      <protection locked="0"/>
    </xf>
    <xf numFmtId="0" fontId="30" fillId="88" borderId="60">
      <alignment horizontal="centerContinuous"/>
    </xf>
    <xf numFmtId="0" fontId="18" fillId="0" borderId="0" applyNumberFormat="0" applyFont="0" applyBorder="0" applyAlignment="0"/>
    <xf numFmtId="0" fontId="169" fillId="34" borderId="0"/>
    <xf numFmtId="0" fontId="46" fillId="109" borderId="0" applyNumberFormat="0" applyFont="0" applyBorder="0" applyProtection="0"/>
    <xf numFmtId="37" fontId="32" fillId="0" borderId="14" applyNumberFormat="0" applyFont="0" applyFill="0" applyAlignment="0" applyProtection="0"/>
    <xf numFmtId="0" fontId="147" fillId="0" borderId="0" applyFill="0" applyBorder="0" applyAlignment="0"/>
    <xf numFmtId="0" fontId="147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0" fontId="170" fillId="0" borderId="11">
      <alignment horizontal="left"/>
      <protection locked="0"/>
    </xf>
    <xf numFmtId="0" fontId="171" fillId="82" borderId="61">
      <protection locked="0"/>
    </xf>
    <xf numFmtId="167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40" fontId="68" fillId="0" borderId="0" applyFont="0" applyFill="0" applyBorder="0" applyAlignment="0" applyProtection="0"/>
    <xf numFmtId="0" fontId="172" fillId="0" borderId="0" applyBorder="0"/>
    <xf numFmtId="213" fontId="44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" fontId="18" fillId="0" borderId="0"/>
    <xf numFmtId="43" fontId="79" fillId="0" borderId="0" applyFont="0" applyFill="0" applyBorder="0" applyAlignment="0" applyProtection="0"/>
    <xf numFmtId="169" fontId="117" fillId="0" borderId="0" applyFont="0" applyFill="0" applyBorder="0" applyAlignment="0" applyProtection="0"/>
    <xf numFmtId="169" fontId="117" fillId="0" borderId="0" applyFont="0" applyFill="0" applyBorder="0" applyAlignment="0" applyProtection="0"/>
    <xf numFmtId="240" fontId="46" fillId="0" borderId="0" applyFont="0" applyFill="0" applyBorder="0" applyAlignment="0" applyProtection="0"/>
    <xf numFmtId="241" fontId="46" fillId="0" borderId="0" applyFill="0" applyBorder="0" applyAlignment="0" applyProtection="0"/>
    <xf numFmtId="166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54" fillId="0" borderId="0">
      <protection locked="0"/>
    </xf>
    <xf numFmtId="242" fontId="18" fillId="0" borderId="0" applyFill="0" applyBorder="0" applyAlignment="0" applyProtection="0"/>
    <xf numFmtId="3" fontId="173" fillId="110" borderId="23">
      <alignment horizontal="center"/>
    </xf>
    <xf numFmtId="243" fontId="18" fillId="0" borderId="0" applyFont="0" applyFill="0" applyBorder="0" applyAlignment="0" applyProtection="0"/>
    <xf numFmtId="244" fontId="154" fillId="0" borderId="0" applyFont="0" applyFill="0" applyBorder="0" applyAlignment="0" applyProtection="0">
      <alignment horizontal="right"/>
    </xf>
    <xf numFmtId="245" fontId="18" fillId="34" borderId="0" applyFont="0" applyBorder="0" applyAlignment="0" applyProtection="0">
      <alignment horizontal="right"/>
      <protection hidden="1"/>
    </xf>
    <xf numFmtId="0" fontId="92" fillId="103" borderId="0" applyNumberFormat="0" applyBorder="0" applyAlignment="0" applyProtection="0"/>
    <xf numFmtId="0" fontId="169" fillId="34" borderId="0"/>
    <xf numFmtId="37" fontId="174" fillId="0" borderId="0"/>
    <xf numFmtId="0" fontId="52" fillId="0" borderId="0"/>
    <xf numFmtId="0" fontId="52" fillId="0" borderId="0"/>
    <xf numFmtId="186" fontId="18" fillId="0" borderId="0"/>
    <xf numFmtId="186" fontId="18" fillId="0" borderId="0"/>
    <xf numFmtId="192" fontId="18" fillId="0" borderId="0"/>
    <xf numFmtId="192" fontId="18" fillId="0" borderId="0"/>
    <xf numFmtId="193" fontId="175" fillId="0" borderId="0"/>
    <xf numFmtId="237" fontId="62" fillId="0" borderId="0"/>
    <xf numFmtId="183" fontId="18" fillId="0" borderId="0">
      <alignment horizontal="right"/>
    </xf>
    <xf numFmtId="183" fontId="18" fillId="0" borderId="0">
      <alignment horizontal="right"/>
    </xf>
    <xf numFmtId="38" fontId="33" fillId="0" borderId="0" applyFont="0" applyFill="0" applyBorder="0" applyAlignment="0"/>
    <xf numFmtId="185" fontId="33" fillId="0" borderId="0" applyFont="0" applyFill="0" applyBorder="0" applyAlignment="0" applyProtection="0"/>
    <xf numFmtId="39" fontId="18" fillId="0" borderId="0" applyFont="0" applyFill="0" applyBorder="0" applyAlignment="0" applyProtection="0"/>
    <xf numFmtId="246" fontId="33" fillId="0" borderId="0" applyFont="0" applyFill="0" applyBorder="0" applyAlignment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238" fontId="32" fillId="0" borderId="0" applyNumberFormat="0" applyFill="0" applyBorder="0" applyAlignment="0" applyProtection="0"/>
    <xf numFmtId="247" fontId="33" fillId="0" borderId="0" applyFont="0" applyFill="0" applyBorder="0" applyAlignment="0" applyProtection="0"/>
    <xf numFmtId="0" fontId="19" fillId="0" borderId="0" applyFill="0" applyBorder="0">
      <protection locked="0"/>
    </xf>
    <xf numFmtId="193" fontId="152" fillId="0" borderId="0" applyNumberFormat="0" applyFill="0" applyBorder="0" applyAlignment="0">
      <alignment vertical="center"/>
      <protection locked="0"/>
    </xf>
    <xf numFmtId="0" fontId="46" fillId="0" borderId="0"/>
    <xf numFmtId="238" fontId="33" fillId="0" borderId="0"/>
    <xf numFmtId="0" fontId="50" fillId="0" borderId="0"/>
    <xf numFmtId="248" fontId="33" fillId="0" borderId="0" applyFont="0" applyFill="0" applyBorder="0" applyAlignment="0" applyProtection="0"/>
    <xf numFmtId="0" fontId="79" fillId="67" borderId="36" applyNumberFormat="0" applyFont="0" applyAlignment="0" applyProtection="0"/>
    <xf numFmtId="0" fontId="18" fillId="102" borderId="36" applyNumberFormat="0" applyFont="0" applyAlignment="0" applyProtection="0"/>
    <xf numFmtId="0" fontId="79" fillId="67" borderId="36" applyNumberFormat="0" applyFont="0" applyAlignment="0" applyProtection="0"/>
    <xf numFmtId="0" fontId="79" fillId="67" borderId="36" applyNumberFormat="0" applyFont="0" applyAlignment="0" applyProtection="0"/>
    <xf numFmtId="0" fontId="79" fillId="67" borderId="36" applyNumberFormat="0" applyFont="0" applyAlignment="0" applyProtection="0"/>
    <xf numFmtId="0" fontId="79" fillId="67" borderId="36" applyNumberFormat="0" applyFont="0" applyAlignment="0" applyProtection="0"/>
    <xf numFmtId="203" fontId="18" fillId="0" borderId="0" applyFont="0" applyFill="0" applyBorder="0" applyAlignment="0" applyProtection="0"/>
    <xf numFmtId="194" fontId="176" fillId="0" borderId="18"/>
    <xf numFmtId="194" fontId="176" fillId="0" borderId="18"/>
    <xf numFmtId="249" fontId="18" fillId="0" borderId="0" applyFont="0" applyFill="0" applyBorder="0" applyAlignment="0" applyProtection="0"/>
    <xf numFmtId="0" fontId="18" fillId="0" borderId="14">
      <alignment vertical="center" wrapText="1"/>
    </xf>
    <xf numFmtId="250" fontId="62" fillId="0" borderId="0" applyFont="0" applyFill="0" applyBorder="0" applyAlignment="0" applyProtection="0"/>
    <xf numFmtId="40" fontId="177" fillId="38" borderId="0">
      <alignment horizontal="right"/>
    </xf>
    <xf numFmtId="205" fontId="178" fillId="0" borderId="26" applyBorder="0">
      <protection locked="0"/>
    </xf>
    <xf numFmtId="0" fontId="179" fillId="38" borderId="0">
      <alignment horizontal="right"/>
    </xf>
    <xf numFmtId="0" fontId="80" fillId="72" borderId="27"/>
    <xf numFmtId="0" fontId="180" fillId="0" borderId="0" applyBorder="0">
      <alignment horizontal="centerContinuous"/>
    </xf>
    <xf numFmtId="0" fontId="181" fillId="0" borderId="0" applyBorder="0">
      <alignment horizontal="centerContinuous"/>
    </xf>
    <xf numFmtId="0" fontId="27" fillId="0" borderId="0"/>
    <xf numFmtId="1" fontId="182" fillId="0" borderId="0" applyProtection="0">
      <alignment horizontal="right" vertical="center"/>
    </xf>
    <xf numFmtId="0" fontId="60" fillId="0" borderId="0"/>
    <xf numFmtId="9" fontId="18" fillId="0" borderId="0" applyFont="0" applyFill="0" applyAlignment="0" applyProtection="0"/>
    <xf numFmtId="251" fontId="19" fillId="0" borderId="0" applyFill="0" applyBorder="0">
      <protection locked="0"/>
    </xf>
    <xf numFmtId="252" fontId="18" fillId="0" borderId="0" applyFont="0" applyFill="0" applyBorder="0" applyAlignment="0"/>
    <xf numFmtId="253" fontId="18" fillId="0" borderId="0" applyFont="0" applyFill="0" applyBorder="0" applyAlignment="0" applyProtection="0"/>
    <xf numFmtId="178" fontId="18" fillId="0" borderId="0" applyFont="0" applyFill="0" applyAlignment="0" applyProtection="0"/>
    <xf numFmtId="10" fontId="18" fillId="0" borderId="0" applyFont="0" applyFill="0" applyBorder="0" applyAlignment="0" applyProtection="0"/>
    <xf numFmtId="254" fontId="19" fillId="0" borderId="0" applyFill="0" applyBorder="0">
      <protection locked="0"/>
    </xf>
    <xf numFmtId="254" fontId="18" fillId="0" borderId="0" applyFill="0" applyBorder="0"/>
    <xf numFmtId="9" fontId="117" fillId="0" borderId="0" applyFont="0" applyFill="0" applyBorder="0" applyAlignment="0" applyProtection="0"/>
    <xf numFmtId="9" fontId="117" fillId="0" borderId="0" applyFont="0" applyFill="0" applyBorder="0" applyAlignment="0" applyProtection="0"/>
    <xf numFmtId="255" fontId="18" fillId="0" borderId="0" applyFont="0" applyFill="0" applyBorder="0" applyProtection="0">
      <alignment horizontal="right"/>
    </xf>
    <xf numFmtId="256" fontId="18" fillId="0" borderId="0" applyFont="0" applyFill="0" applyBorder="0" applyAlignment="0" applyProtection="0"/>
    <xf numFmtId="257" fontId="18" fillId="0" borderId="0" applyFont="0" applyFill="0" applyBorder="0" applyAlignment="0" applyProtection="0"/>
    <xf numFmtId="258" fontId="54" fillId="0" borderId="0">
      <protection locked="0"/>
    </xf>
    <xf numFmtId="0" fontId="18" fillId="0" borderId="0">
      <protection locked="0"/>
    </xf>
    <xf numFmtId="0" fontId="116" fillId="0" borderId="0">
      <protection locked="0"/>
    </xf>
    <xf numFmtId="0" fontId="18" fillId="0" borderId="0">
      <protection locked="0"/>
    </xf>
    <xf numFmtId="0" fontId="27" fillId="0" borderId="0">
      <protection locked="0"/>
    </xf>
    <xf numFmtId="37" fontId="18" fillId="0" borderId="14" applyFont="0" applyFill="0" applyBorder="0" applyProtection="0"/>
    <xf numFmtId="259" fontId="54" fillId="0" borderId="0">
      <protection locked="0"/>
    </xf>
    <xf numFmtId="260" fontId="154" fillId="0" borderId="0" applyFont="0" applyFill="0" applyBorder="0" applyAlignment="0" applyProtection="0">
      <alignment horizontal="right"/>
    </xf>
    <xf numFmtId="0" fontId="54" fillId="0" borderId="0">
      <protection locked="0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47" fillId="0" borderId="0" applyFill="0" applyBorder="0" applyAlignment="0"/>
    <xf numFmtId="0" fontId="147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164" fontId="69" fillId="0" borderId="0"/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0" fontId="18" fillId="0" borderId="21">
      <alignment horizontal="center"/>
    </xf>
    <xf numFmtId="3" fontId="68" fillId="0" borderId="0" applyFont="0" applyFill="0" applyBorder="0" applyAlignment="0" applyProtection="0"/>
    <xf numFmtId="0" fontId="68" fillId="33" borderId="0" applyNumberFormat="0" applyFont="0" applyBorder="0" applyAlignment="0" applyProtection="0"/>
    <xf numFmtId="39" fontId="18" fillId="0" borderId="0" applyFill="0" applyBorder="0" applyAlignment="0" applyProtection="0"/>
    <xf numFmtId="3" fontId="48" fillId="0" borderId="0" applyFont="0" applyFill="0" applyBorder="0" applyAlignment="0" applyProtection="0"/>
    <xf numFmtId="0" fontId="50" fillId="0" borderId="0"/>
    <xf numFmtId="3" fontId="48" fillId="0" borderId="0" applyFont="0" applyFill="0" applyBorder="0" applyAlignment="0" applyProtection="0"/>
    <xf numFmtId="0" fontId="50" fillId="0" borderId="0"/>
    <xf numFmtId="3" fontId="183" fillId="0" borderId="0"/>
    <xf numFmtId="0" fontId="184" fillId="0" borderId="0">
      <alignment horizontal="left" indent="7"/>
    </xf>
    <xf numFmtId="0" fontId="183" fillId="0" borderId="0">
      <alignment horizontal="left" indent="6"/>
    </xf>
    <xf numFmtId="3" fontId="27" fillId="0" borderId="52" applyFill="0"/>
    <xf numFmtId="0" fontId="32" fillId="111" borderId="14" applyNumberFormat="0" applyBorder="0" applyAlignment="0">
      <alignment horizontal="right"/>
    </xf>
    <xf numFmtId="0" fontId="185" fillId="112" borderId="0"/>
    <xf numFmtId="0" fontId="27" fillId="0" borderId="0" applyFill="0"/>
    <xf numFmtId="3" fontId="27" fillId="0" borderId="24" applyFill="0"/>
    <xf numFmtId="0" fontId="18" fillId="113" borderId="0" applyNumberFormat="0" applyFont="0" applyBorder="0" applyAlignment="0"/>
    <xf numFmtId="0" fontId="185" fillId="114" borderId="0">
      <alignment horizontal="left" indent="2"/>
    </xf>
    <xf numFmtId="0" fontId="185" fillId="0" borderId="0" applyFill="0">
      <alignment horizontal="left" indent="2"/>
    </xf>
    <xf numFmtId="3" fontId="27" fillId="0" borderId="0" applyFill="0"/>
    <xf numFmtId="0" fontId="18" fillId="0" borderId="0" applyNumberFormat="0" applyFont="0" applyBorder="0" applyAlignment="0"/>
    <xf numFmtId="0" fontId="186" fillId="0" borderId="0">
      <alignment horizontal="left" indent="4"/>
    </xf>
    <xf numFmtId="0" fontId="187" fillId="0" borderId="0">
      <alignment horizontal="left" indent="4"/>
    </xf>
    <xf numFmtId="3" fontId="139" fillId="0" borderId="0" applyFill="0"/>
    <xf numFmtId="0" fontId="18" fillId="0" borderId="0" applyNumberFormat="0" applyFont="0" applyBorder="0" applyAlignment="0"/>
    <xf numFmtId="0" fontId="188" fillId="0" borderId="0">
      <alignment horizontal="left" indent="6"/>
    </xf>
    <xf numFmtId="0" fontId="188" fillId="0" borderId="0" applyFill="0">
      <alignment horizontal="left" indent="6"/>
    </xf>
    <xf numFmtId="215" fontId="42" fillId="0" borderId="0" applyFill="0"/>
    <xf numFmtId="0" fontId="18" fillId="0" borderId="0" applyNumberFormat="0" applyFont="0" applyBorder="0" applyAlignment="0"/>
    <xf numFmtId="0" fontId="189" fillId="0" borderId="0">
      <alignment horizontal="left" indent="7"/>
    </xf>
    <xf numFmtId="180" fontId="189" fillId="0" borderId="0" applyFill="0">
      <alignment horizontal="left" indent="7"/>
    </xf>
    <xf numFmtId="215" fontId="140" fillId="0" borderId="0" applyFill="0"/>
    <xf numFmtId="0" fontId="18" fillId="0" borderId="0" applyNumberFormat="0" applyFont="0" applyBorder="0" applyAlignment="0"/>
    <xf numFmtId="0" fontId="141" fillId="0" borderId="0">
      <alignment horizontal="left" indent="8"/>
    </xf>
    <xf numFmtId="0" fontId="142" fillId="0" borderId="0" applyFill="0">
      <alignment horizontal="left" indent="8"/>
    </xf>
    <xf numFmtId="215" fontId="143" fillId="0" borderId="0" applyFill="0"/>
    <xf numFmtId="0" fontId="18" fillId="0" borderId="0" applyNumberFormat="0" applyFont="0" applyFill="0" applyBorder="0" applyAlignment="0"/>
    <xf numFmtId="0" fontId="144" fillId="0" borderId="0" applyFill="0">
      <alignment horizontal="left" indent="9"/>
    </xf>
    <xf numFmtId="0" fontId="140" fillId="0" borderId="0" applyFill="0">
      <alignment horizontal="left" indent="9"/>
    </xf>
    <xf numFmtId="261" fontId="36" fillId="0" borderId="0"/>
    <xf numFmtId="0" fontId="156" fillId="34" borderId="0"/>
    <xf numFmtId="262" fontId="46" fillId="0" borderId="24" applyFont="0" applyFill="0" applyBorder="0" applyAlignment="0" applyProtection="0"/>
    <xf numFmtId="263" fontId="18" fillId="0" borderId="0" applyFont="0" applyFill="0" applyBorder="0" applyProtection="0">
      <alignment horizontal="right"/>
    </xf>
    <xf numFmtId="264" fontId="18" fillId="0" borderId="0" applyFont="0" applyFill="0" applyBorder="0" applyProtection="0">
      <alignment horizontal="right"/>
    </xf>
    <xf numFmtId="0" fontId="156" fillId="88" borderId="0"/>
    <xf numFmtId="238" fontId="41" fillId="0" borderId="0" applyNumberFormat="0" applyFill="0" applyBorder="0" applyAlignment="0" applyProtection="0">
      <alignment horizontal="left"/>
    </xf>
    <xf numFmtId="0" fontId="190" fillId="0" borderId="11" applyNumberFormat="0" applyFill="0" applyBorder="0" applyAlignment="0" applyProtection="0">
      <protection hidden="1"/>
    </xf>
    <xf numFmtId="0" fontId="146" fillId="81" borderId="0"/>
    <xf numFmtId="265" fontId="191" fillId="0" borderId="11" applyFont="0" applyFill="0" applyBorder="0" applyAlignment="0" applyProtection="0"/>
    <xf numFmtId="0" fontId="31" fillId="85" borderId="60">
      <alignment horizontal="centerContinuous"/>
    </xf>
    <xf numFmtId="181" fontId="74" fillId="0" borderId="0" applyNumberFormat="0" applyFill="0" applyBorder="0" applyAlignment="0" applyProtection="0">
      <alignment horizontal="left"/>
    </xf>
    <xf numFmtId="0" fontId="33" fillId="0" borderId="0">
      <alignment horizontal="right"/>
    </xf>
    <xf numFmtId="0" fontId="156" fillId="88" borderId="0"/>
    <xf numFmtId="0" fontId="93" fillId="89" borderId="19" applyNumberFormat="0" applyAlignment="0" applyProtection="0"/>
    <xf numFmtId="4" fontId="107" fillId="43" borderId="40">
      <alignment vertical="center"/>
    </xf>
    <xf numFmtId="4" fontId="107" fillId="43" borderId="40">
      <alignment vertical="center"/>
    </xf>
    <xf numFmtId="4" fontId="108" fillId="43" borderId="40">
      <alignment vertical="center"/>
    </xf>
    <xf numFmtId="4" fontId="108" fillId="43" borderId="40">
      <alignment vertical="center"/>
    </xf>
    <xf numFmtId="4" fontId="109" fillId="43" borderId="40">
      <alignment horizontal="left" vertical="center" indent="1"/>
    </xf>
    <xf numFmtId="4" fontId="109" fillId="43" borderId="40">
      <alignment horizontal="left" vertical="center" indent="1"/>
    </xf>
    <xf numFmtId="4" fontId="21" fillId="40" borderId="19" applyNumberFormat="0" applyProtection="0">
      <alignment horizontal="left" vertical="center" indent="1"/>
    </xf>
    <xf numFmtId="0" fontId="18" fillId="68" borderId="0"/>
    <xf numFmtId="4" fontId="109" fillId="78" borderId="0">
      <alignment horizontal="left" vertical="center" indent="1"/>
    </xf>
    <xf numFmtId="4" fontId="109" fillId="78" borderId="0">
      <alignment horizontal="left" vertical="center" indent="1"/>
    </xf>
    <xf numFmtId="4" fontId="109" fillId="70" borderId="40" applyNumberFormat="0" applyProtection="0">
      <alignment horizontal="right" vertical="center"/>
    </xf>
    <xf numFmtId="4" fontId="109" fillId="70" borderId="40" applyNumberFormat="0" applyProtection="0">
      <alignment horizontal="right" vertical="center"/>
    </xf>
    <xf numFmtId="4" fontId="109" fillId="79" borderId="40" applyNumberFormat="0" applyProtection="0">
      <alignment horizontal="right" vertical="center"/>
    </xf>
    <xf numFmtId="4" fontId="109" fillId="79" borderId="40" applyNumberFormat="0" applyProtection="0">
      <alignment horizontal="right" vertical="center"/>
    </xf>
    <xf numFmtId="4" fontId="109" fillId="80" borderId="40" applyNumberFormat="0" applyProtection="0">
      <alignment horizontal="right" vertical="center"/>
    </xf>
    <xf numFmtId="4" fontId="109" fillId="80" borderId="40" applyNumberFormat="0" applyProtection="0">
      <alignment horizontal="right" vertical="center"/>
    </xf>
    <xf numFmtId="4" fontId="109" fillId="81" borderId="40" applyNumberFormat="0" applyProtection="0">
      <alignment horizontal="right" vertical="center"/>
    </xf>
    <xf numFmtId="4" fontId="109" fillId="81" borderId="40" applyNumberFormat="0" applyProtection="0">
      <alignment horizontal="right" vertical="center"/>
    </xf>
    <xf numFmtId="4" fontId="109" fillId="74" borderId="40" applyNumberFormat="0" applyProtection="0">
      <alignment horizontal="right" vertical="center"/>
    </xf>
    <xf numFmtId="4" fontId="109" fillId="74" borderId="40" applyNumberFormat="0" applyProtection="0">
      <alignment horizontal="right" vertical="center"/>
    </xf>
    <xf numFmtId="4" fontId="109" fillId="82" borderId="40" applyNumberFormat="0" applyProtection="0">
      <alignment horizontal="right" vertical="center"/>
    </xf>
    <xf numFmtId="4" fontId="109" fillId="82" borderId="40" applyNumberFormat="0" applyProtection="0">
      <alignment horizontal="right" vertical="center"/>
    </xf>
    <xf numFmtId="4" fontId="109" fillId="83" borderId="40" applyNumberFormat="0" applyProtection="0">
      <alignment horizontal="right" vertical="center"/>
    </xf>
    <xf numFmtId="4" fontId="109" fillId="83" borderId="40" applyNumberFormat="0" applyProtection="0">
      <alignment horizontal="right" vertical="center"/>
    </xf>
    <xf numFmtId="4" fontId="109" fillId="71" borderId="40" applyNumberFormat="0" applyProtection="0">
      <alignment horizontal="right" vertical="center"/>
    </xf>
    <xf numFmtId="4" fontId="109" fillId="71" borderId="40" applyNumberFormat="0" applyProtection="0">
      <alignment horizontal="right" vertical="center"/>
    </xf>
    <xf numFmtId="4" fontId="109" fillId="72" borderId="40" applyNumberFormat="0" applyProtection="0">
      <alignment horizontal="right" vertical="center"/>
    </xf>
    <xf numFmtId="4" fontId="109" fillId="72" borderId="40" applyNumberFormat="0" applyProtection="0">
      <alignment horizontal="right" vertical="center"/>
    </xf>
    <xf numFmtId="4" fontId="107" fillId="84" borderId="41">
      <alignment horizontal="left" vertical="center" indent="1"/>
    </xf>
    <xf numFmtId="4" fontId="107" fillId="84" borderId="41">
      <alignment horizontal="left" vertical="center" indent="1"/>
    </xf>
    <xf numFmtId="4" fontId="107" fillId="85" borderId="0">
      <alignment horizontal="left" vertical="center" indent="1"/>
    </xf>
    <xf numFmtId="4" fontId="107" fillId="85" borderId="0">
      <alignment horizontal="left" vertical="center" indent="1"/>
    </xf>
    <xf numFmtId="4" fontId="107" fillId="78" borderId="0">
      <alignment horizontal="left" vertical="center" indent="1"/>
    </xf>
    <xf numFmtId="4" fontId="107" fillId="78" borderId="0">
      <alignment horizontal="left" vertical="center" indent="1"/>
    </xf>
    <xf numFmtId="4" fontId="109" fillId="85" borderId="40">
      <alignment horizontal="right" vertical="center"/>
    </xf>
    <xf numFmtId="4" fontId="109" fillId="85" borderId="40">
      <alignment horizontal="right" vertical="center"/>
    </xf>
    <xf numFmtId="4" fontId="109" fillId="85" borderId="0">
      <alignment horizontal="left" vertical="center" indent="1"/>
    </xf>
    <xf numFmtId="4" fontId="21" fillId="85" borderId="0">
      <alignment horizontal="left" vertical="center" indent="1"/>
    </xf>
    <xf numFmtId="4" fontId="21" fillId="85" borderId="0">
      <alignment horizontal="left" vertical="center" indent="1"/>
    </xf>
    <xf numFmtId="0" fontId="18" fillId="41" borderId="43" applyNumberFormat="0" applyAlignment="0"/>
    <xf numFmtId="0" fontId="106" fillId="38" borderId="44">
      <alignment horizontal="left" vertical="center"/>
    </xf>
    <xf numFmtId="4" fontId="21" fillId="78" borderId="0">
      <alignment horizontal="left" vertical="center" indent="1"/>
    </xf>
    <xf numFmtId="4" fontId="21" fillId="78" borderId="0">
      <alignment horizontal="left" vertical="center" indent="1"/>
    </xf>
    <xf numFmtId="0" fontId="18" fillId="42" borderId="19" applyNumberFormat="0" applyProtection="0">
      <alignment horizontal="left" vertical="center" indent="1"/>
    </xf>
    <xf numFmtId="0" fontId="18" fillId="42" borderId="19" applyNumberFormat="0" applyProtection="0">
      <alignment horizontal="left" vertical="center" indent="1"/>
    </xf>
    <xf numFmtId="0" fontId="18" fillId="115" borderId="19" applyNumberFormat="0" applyProtection="0">
      <alignment horizontal="left" vertical="center" indent="1"/>
    </xf>
    <xf numFmtId="0" fontId="18" fillId="115" borderId="19" applyNumberFormat="0" applyProtection="0">
      <alignment horizontal="left" vertical="center" indent="1"/>
    </xf>
    <xf numFmtId="0" fontId="18" fillId="34" borderId="19" applyNumberFormat="0" applyProtection="0">
      <alignment horizontal="left" vertical="center" indent="1"/>
    </xf>
    <xf numFmtId="0" fontId="18" fillId="34" borderId="19" applyNumberFormat="0" applyProtection="0">
      <alignment horizontal="left" vertical="center" indent="1"/>
    </xf>
    <xf numFmtId="0" fontId="18" fillId="116" borderId="19" applyNumberFormat="0" applyProtection="0">
      <alignment horizontal="left" vertical="center" indent="1"/>
    </xf>
    <xf numFmtId="0" fontId="18" fillId="116" borderId="19" applyNumberFormat="0" applyProtection="0">
      <alignment horizontal="left" vertical="center" indent="1"/>
    </xf>
    <xf numFmtId="4" fontId="109" fillId="69" borderId="40">
      <alignment vertical="center"/>
    </xf>
    <xf numFmtId="4" fontId="109" fillId="69" borderId="40">
      <alignment vertical="center"/>
    </xf>
    <xf numFmtId="4" fontId="110" fillId="69" borderId="40">
      <alignment vertical="center"/>
    </xf>
    <xf numFmtId="4" fontId="110" fillId="69" borderId="40">
      <alignment vertical="center"/>
    </xf>
    <xf numFmtId="4" fontId="107" fillId="85" borderId="47">
      <alignment horizontal="left" vertical="center" indent="1"/>
    </xf>
    <xf numFmtId="4" fontId="107" fillId="85" borderId="47">
      <alignment horizontal="left" vertical="center" indent="1"/>
    </xf>
    <xf numFmtId="4" fontId="21" fillId="35" borderId="19" applyNumberFormat="0" applyProtection="0">
      <alignment horizontal="left" vertical="center" indent="1"/>
    </xf>
    <xf numFmtId="4" fontId="109" fillId="69" borderId="40">
      <alignment horizontal="right" vertical="center"/>
    </xf>
    <xf numFmtId="4" fontId="109" fillId="69" borderId="40">
      <alignment horizontal="right" vertical="center"/>
    </xf>
    <xf numFmtId="4" fontId="110" fillId="69" borderId="40">
      <alignment horizontal="right" vertical="center"/>
    </xf>
    <xf numFmtId="4" fontId="110" fillId="69" borderId="40">
      <alignment horizontal="right" vertical="center"/>
    </xf>
    <xf numFmtId="4" fontId="107" fillId="85" borderId="40">
      <alignment horizontal="left" vertical="center" indent="1"/>
    </xf>
    <xf numFmtId="4" fontId="107" fillId="85" borderId="40">
      <alignment horizontal="right" vertical="center"/>
    </xf>
    <xf numFmtId="4" fontId="107" fillId="85" borderId="40">
      <alignment horizontal="left" vertical="center" indent="1"/>
    </xf>
    <xf numFmtId="4" fontId="107" fillId="69" borderId="40">
      <alignment horizontal="left" vertical="center" indent="1"/>
    </xf>
    <xf numFmtId="0" fontId="18" fillId="116" borderId="19" applyNumberFormat="0" applyProtection="0">
      <alignment horizontal="left" vertical="center" indent="1"/>
    </xf>
    <xf numFmtId="4" fontId="107" fillId="69" borderId="40">
      <alignment vertical="center"/>
    </xf>
    <xf numFmtId="4" fontId="108" fillId="69" borderId="40">
      <alignment vertical="center"/>
    </xf>
    <xf numFmtId="4" fontId="107" fillId="35" borderId="40">
      <alignment horizontal="left" vertical="center" indent="1"/>
    </xf>
    <xf numFmtId="4" fontId="112" fillId="38" borderId="49">
      <alignment horizontal="left" vertical="center" indent="1"/>
    </xf>
    <xf numFmtId="4" fontId="111" fillId="69" borderId="40">
      <alignment horizontal="right" vertical="center"/>
    </xf>
    <xf numFmtId="4" fontId="111" fillId="69" borderId="40">
      <alignment horizontal="right" vertical="center"/>
    </xf>
    <xf numFmtId="0" fontId="58" fillId="0" borderId="0" applyFill="0" applyBorder="0" applyProtection="0">
      <alignment horizontal="left"/>
    </xf>
    <xf numFmtId="38" fontId="68" fillId="0" borderId="0" applyFont="0" applyFill="0" applyBorder="0" applyAlignment="0" applyProtection="0"/>
    <xf numFmtId="266" fontId="192" fillId="0" borderId="0">
      <protection locked="0"/>
    </xf>
    <xf numFmtId="0" fontId="193" fillId="34" borderId="62">
      <alignment horizontal="centerContinuous" vertical="center" wrapText="1"/>
    </xf>
    <xf numFmtId="38" fontId="194" fillId="117" borderId="60">
      <alignment horizontal="centerContinuous" vertical="center"/>
    </xf>
    <xf numFmtId="0" fontId="68" fillId="0" borderId="0" applyFont="0" applyProtection="0"/>
    <xf numFmtId="3" fontId="125" fillId="118" borderId="0">
      <alignment horizontal="left"/>
    </xf>
    <xf numFmtId="185" fontId="29" fillId="38" borderId="0">
      <protection locked="0"/>
    </xf>
    <xf numFmtId="0" fontId="18" fillId="0" borderId="63">
      <alignment wrapText="1"/>
      <protection locked="0"/>
    </xf>
    <xf numFmtId="0" fontId="129" fillId="88" borderId="0"/>
    <xf numFmtId="12" fontId="18" fillId="0" borderId="0" applyFont="0" applyFill="0" applyBorder="0" applyProtection="0">
      <alignment horizontal="right"/>
    </xf>
    <xf numFmtId="267" fontId="18" fillId="117" borderId="0" applyFont="0" applyFill="0" applyBorder="0" applyProtection="0">
      <alignment horizontal="right"/>
    </xf>
    <xf numFmtId="0" fontId="18" fillId="0" borderId="0"/>
    <xf numFmtId="0" fontId="18" fillId="0" borderId="0"/>
    <xf numFmtId="0" fontId="18" fillId="0" borderId="0"/>
    <xf numFmtId="3" fontId="109" fillId="118" borderId="0">
      <alignment horizontal="left"/>
    </xf>
    <xf numFmtId="0" fontId="27" fillId="0" borderId="0"/>
    <xf numFmtId="38" fontId="194" fillId="0" borderId="0" applyNumberFormat="0" applyFill="0">
      <alignment horizontal="centerContinuous"/>
    </xf>
    <xf numFmtId="3" fontId="18" fillId="0" borderId="14" applyNumberFormat="0" applyFont="0" applyFill="0" applyAlignment="0" applyProtection="0">
      <alignment vertical="center"/>
    </xf>
    <xf numFmtId="0" fontId="195" fillId="0" borderId="0" applyBorder="0" applyProtection="0">
      <alignment vertical="center"/>
    </xf>
    <xf numFmtId="227" fontId="195" fillId="0" borderId="23" applyBorder="0" applyProtection="0">
      <alignment horizontal="right" vertical="center"/>
    </xf>
    <xf numFmtId="0" fontId="196" fillId="86" borderId="0" applyBorder="0" applyProtection="0">
      <alignment horizontal="centerContinuous" vertical="center"/>
    </xf>
    <xf numFmtId="0" fontId="196" fillId="44" borderId="23" applyBorder="0" applyProtection="0">
      <alignment horizontal="centerContinuous" vertical="center"/>
    </xf>
    <xf numFmtId="0" fontId="197" fillId="0" borderId="0" applyFill="0" applyBorder="0" applyAlignment="0"/>
    <xf numFmtId="0" fontId="198" fillId="0" borderId="0" applyFill="0" applyBorder="0" applyProtection="0">
      <alignment horizontal="left"/>
    </xf>
    <xf numFmtId="0" fontId="160" fillId="0" borderId="26" applyFill="0" applyBorder="0" applyProtection="0">
      <alignment horizontal="left" vertical="top"/>
    </xf>
    <xf numFmtId="1" fontId="199" fillId="0" borderId="0"/>
    <xf numFmtId="0" fontId="18" fillId="0" borderId="0"/>
    <xf numFmtId="40" fontId="200" fillId="0" borderId="0"/>
    <xf numFmtId="0" fontId="33" fillId="0" borderId="0"/>
    <xf numFmtId="0" fontId="52" fillId="0" borderId="0"/>
    <xf numFmtId="0" fontId="156" fillId="88" borderId="0"/>
    <xf numFmtId="49" fontId="21" fillId="0" borderId="0" applyFill="0" applyBorder="0" applyAlignment="0"/>
    <xf numFmtId="0" fontId="52" fillId="0" borderId="0" applyFill="0" applyBorder="0" applyAlignment="0"/>
    <xf numFmtId="0" fontId="18" fillId="0" borderId="0" applyFill="0" applyBorder="0" applyAlignment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68" fontId="18" fillId="0" borderId="0" applyFill="0" applyBorder="0" applyAlignment="0" applyProtection="0">
      <alignment horizontal="right"/>
    </xf>
    <xf numFmtId="0" fontId="201" fillId="0" borderId="0" applyProtection="0">
      <alignment vertical="top"/>
    </xf>
    <xf numFmtId="205" fontId="202" fillId="0" borderId="0" applyNumberFormat="0">
      <alignment vertical="center"/>
    </xf>
    <xf numFmtId="1" fontId="46" fillId="119" borderId="0" applyNumberFormat="0" applyFont="0" applyBorder="0" applyProtection="0">
      <alignment horizontal="left"/>
    </xf>
    <xf numFmtId="3" fontId="203" fillId="118" borderId="0">
      <alignment horizontal="center"/>
    </xf>
    <xf numFmtId="0" fontId="100" fillId="0" borderId="64" applyNumberFormat="0" applyFill="0" applyAlignment="0" applyProtection="0"/>
    <xf numFmtId="0" fontId="101" fillId="0" borderId="34" applyNumberFormat="0" applyFill="0" applyAlignment="0" applyProtection="0"/>
    <xf numFmtId="0" fontId="98" fillId="0" borderId="65" applyNumberFormat="0" applyFill="0" applyAlignment="0" applyProtection="0"/>
    <xf numFmtId="0" fontId="99" fillId="0" borderId="0" applyNumberFormat="0" applyFill="0" applyBorder="0" applyAlignment="0" applyProtection="0"/>
    <xf numFmtId="266" fontId="157" fillId="0" borderId="0">
      <protection locked="0"/>
    </xf>
    <xf numFmtId="266" fontId="157" fillId="0" borderId="0">
      <protection locked="0"/>
    </xf>
    <xf numFmtId="3" fontId="173" fillId="38" borderId="23">
      <alignment horizontal="center" vertical="center"/>
    </xf>
    <xf numFmtId="3" fontId="204" fillId="118" borderId="0">
      <alignment horizontal="left"/>
    </xf>
    <xf numFmtId="0" fontId="205" fillId="0" borderId="0" applyFill="0" applyBorder="0" applyAlignment="0" applyProtection="0"/>
    <xf numFmtId="0" fontId="74" fillId="64" borderId="11"/>
    <xf numFmtId="0" fontId="40" fillId="42" borderId="0" applyBorder="0"/>
    <xf numFmtId="205" fontId="27" fillId="0" borderId="13" applyFill="0"/>
    <xf numFmtId="205" fontId="18" fillId="0" borderId="24" applyFill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269" fontId="37" fillId="0" borderId="0">
      <alignment horizontal="left"/>
      <protection locked="0"/>
    </xf>
    <xf numFmtId="270" fontId="33" fillId="0" borderId="0"/>
    <xf numFmtId="38" fontId="33" fillId="40" borderId="0" applyNumberFormat="0" applyBorder="0" applyAlignment="0" applyProtection="0"/>
    <xf numFmtId="0" fontId="18" fillId="0" borderId="0"/>
    <xf numFmtId="37" fontId="33" fillId="40" borderId="0" applyNumberFormat="0" applyBorder="0" applyAlignment="0" applyProtection="0"/>
    <xf numFmtId="37" fontId="33" fillId="0" borderId="0"/>
    <xf numFmtId="3" fontId="34" fillId="0" borderId="66" applyProtection="0"/>
    <xf numFmtId="205" fontId="178" fillId="38" borderId="26" applyNumberFormat="0" applyBorder="0">
      <protection locked="0"/>
    </xf>
    <xf numFmtId="4" fontId="206" fillId="0" borderId="67"/>
    <xf numFmtId="271" fontId="46" fillId="0" borderId="0" applyFont="0" applyFill="0" applyBorder="0" applyAlignment="0" applyProtection="0"/>
    <xf numFmtId="166" fontId="18" fillId="0" borderId="0" applyFont="0" applyFill="0" applyBorder="0" applyAlignment="0" applyProtection="0"/>
    <xf numFmtId="271" fontId="46" fillId="0" borderId="0" applyFont="0" applyFill="0" applyBorder="0" applyAlignment="0" applyProtection="0"/>
    <xf numFmtId="0" fontId="20" fillId="0" borderId="0" applyNumberFormat="0" applyFill="0" applyBorder="0"/>
    <xf numFmtId="0" fontId="32" fillId="38" borderId="24" applyNumberFormat="0" applyFont="0" applyAlignment="0" applyProtection="0">
      <protection locked="0"/>
    </xf>
    <xf numFmtId="184" fontId="46" fillId="0" borderId="0" applyNumberFormat="0" applyFont="0" applyFill="0" applyBorder="0" applyProtection="0">
      <alignment vertical="top" wrapText="1"/>
    </xf>
    <xf numFmtId="41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272" fontId="207" fillId="0" borderId="0" applyFont="0" applyFill="0" applyBorder="0" applyAlignment="0" applyProtection="0"/>
    <xf numFmtId="273" fontId="207" fillId="0" borderId="0" applyFont="0" applyFill="0" applyBorder="0" applyAlignment="0" applyProtection="0"/>
    <xf numFmtId="0" fontId="207" fillId="0" borderId="0"/>
    <xf numFmtId="0" fontId="18" fillId="0" borderId="0"/>
    <xf numFmtId="0" fontId="117" fillId="0" borderId="0"/>
    <xf numFmtId="0" fontId="20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52" fillId="0" borderId="0">
      <alignment vertical="center"/>
    </xf>
    <xf numFmtId="0" fontId="149" fillId="0" borderId="0"/>
    <xf numFmtId="0" fontId="79" fillId="46" borderId="0" applyNumberFormat="0" applyBorder="0" applyAlignment="0" applyProtection="0"/>
    <xf numFmtId="0" fontId="21" fillId="46" borderId="0" applyNumberFormat="0" applyBorder="0" applyAlignment="0" applyProtection="0"/>
    <xf numFmtId="0" fontId="1" fillId="10" borderId="0" applyNumberFormat="0" applyBorder="0" applyAlignment="0" applyProtection="0"/>
    <xf numFmtId="0" fontId="79" fillId="47" borderId="0" applyNumberFormat="0" applyBorder="0" applyAlignment="0" applyProtection="0"/>
    <xf numFmtId="0" fontId="21" fillId="47" borderId="0" applyNumberFormat="0" applyBorder="0" applyAlignment="0" applyProtection="0"/>
    <xf numFmtId="0" fontId="1" fillId="14" borderId="0" applyNumberFormat="0" applyBorder="0" applyAlignment="0" applyProtection="0"/>
    <xf numFmtId="0" fontId="79" fillId="48" borderId="0" applyNumberFormat="0" applyBorder="0" applyAlignment="0" applyProtection="0"/>
    <xf numFmtId="0" fontId="21" fillId="48" borderId="0" applyNumberFormat="0" applyBorder="0" applyAlignment="0" applyProtection="0"/>
    <xf numFmtId="0" fontId="1" fillId="18" borderId="0" applyNumberFormat="0" applyBorder="0" applyAlignment="0" applyProtection="0"/>
    <xf numFmtId="0" fontId="79" fillId="49" borderId="0" applyNumberFormat="0" applyBorder="0" applyAlignment="0" applyProtection="0"/>
    <xf numFmtId="0" fontId="21" fillId="49" borderId="0" applyNumberFormat="0" applyBorder="0" applyAlignment="0" applyProtection="0"/>
    <xf numFmtId="0" fontId="1" fillId="22" borderId="0" applyNumberFormat="0" applyBorder="0" applyAlignment="0" applyProtection="0"/>
    <xf numFmtId="0" fontId="79" fillId="50" borderId="0" applyNumberFormat="0" applyBorder="0" applyAlignment="0" applyProtection="0"/>
    <xf numFmtId="0" fontId="21" fillId="50" borderId="0" applyNumberFormat="0" applyBorder="0" applyAlignment="0" applyProtection="0"/>
    <xf numFmtId="0" fontId="1" fillId="26" borderId="0" applyNumberFormat="0" applyBorder="0" applyAlignment="0" applyProtection="0"/>
    <xf numFmtId="0" fontId="79" fillId="51" borderId="0" applyNumberFormat="0" applyBorder="0" applyAlignment="0" applyProtection="0"/>
    <xf numFmtId="0" fontId="21" fillId="51" borderId="0" applyNumberFormat="0" applyBorder="0" applyAlignment="0" applyProtection="0"/>
    <xf numFmtId="0" fontId="1" fillId="30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2" borderId="0" applyNumberFormat="0" applyBorder="0" applyAlignment="0" applyProtection="0"/>
    <xf numFmtId="0" fontId="21" fillId="52" borderId="0" applyNumberFormat="0" applyBorder="0" applyAlignment="0" applyProtection="0"/>
    <xf numFmtId="0" fontId="1" fillId="11" borderId="0" applyNumberFormat="0" applyBorder="0" applyAlignment="0" applyProtection="0"/>
    <xf numFmtId="0" fontId="79" fillId="53" borderId="0" applyNumberFormat="0" applyBorder="0" applyAlignment="0" applyProtection="0"/>
    <xf numFmtId="0" fontId="21" fillId="53" borderId="0" applyNumberFormat="0" applyBorder="0" applyAlignment="0" applyProtection="0"/>
    <xf numFmtId="0" fontId="1" fillId="15" borderId="0" applyNumberFormat="0" applyBorder="0" applyAlignment="0" applyProtection="0"/>
    <xf numFmtId="0" fontId="79" fillId="54" borderId="0" applyNumberFormat="0" applyBorder="0" applyAlignment="0" applyProtection="0"/>
    <xf numFmtId="0" fontId="21" fillId="54" borderId="0" applyNumberFormat="0" applyBorder="0" applyAlignment="0" applyProtection="0"/>
    <xf numFmtId="0" fontId="1" fillId="19" borderId="0" applyNumberFormat="0" applyBorder="0" applyAlignment="0" applyProtection="0"/>
    <xf numFmtId="0" fontId="79" fillId="49" borderId="0" applyNumberFormat="0" applyBorder="0" applyAlignment="0" applyProtection="0"/>
    <xf numFmtId="0" fontId="21" fillId="49" borderId="0" applyNumberFormat="0" applyBorder="0" applyAlignment="0" applyProtection="0"/>
    <xf numFmtId="0" fontId="1" fillId="23" borderId="0" applyNumberFormat="0" applyBorder="0" applyAlignment="0" applyProtection="0"/>
    <xf numFmtId="0" fontId="79" fillId="52" borderId="0" applyNumberFormat="0" applyBorder="0" applyAlignment="0" applyProtection="0"/>
    <xf numFmtId="0" fontId="21" fillId="52" borderId="0" applyNumberFormat="0" applyBorder="0" applyAlignment="0" applyProtection="0"/>
    <xf numFmtId="0" fontId="1" fillId="27" borderId="0" applyNumberFormat="0" applyBorder="0" applyAlignment="0" applyProtection="0"/>
    <xf numFmtId="0" fontId="79" fillId="55" borderId="0" applyNumberFormat="0" applyBorder="0" applyAlignment="0" applyProtection="0"/>
    <xf numFmtId="0" fontId="21" fillId="55" borderId="0" applyNumberFormat="0" applyBorder="0" applyAlignment="0" applyProtection="0"/>
    <xf numFmtId="0" fontId="1" fillId="31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43" fillId="56" borderId="0" applyNumberFormat="0" applyBorder="0" applyAlignment="0" applyProtection="0"/>
    <xf numFmtId="0" fontId="16" fillId="12" borderId="0" applyNumberFormat="0" applyBorder="0" applyAlignment="0" applyProtection="0"/>
    <xf numFmtId="0" fontId="43" fillId="53" borderId="0" applyNumberFormat="0" applyBorder="0" applyAlignment="0" applyProtection="0"/>
    <xf numFmtId="0" fontId="16" fillId="16" borderId="0" applyNumberFormat="0" applyBorder="0" applyAlignment="0" applyProtection="0"/>
    <xf numFmtId="0" fontId="43" fillId="54" borderId="0" applyNumberFormat="0" applyBorder="0" applyAlignment="0" applyProtection="0"/>
    <xf numFmtId="0" fontId="16" fillId="20" borderId="0" applyNumberFormat="0" applyBorder="0" applyAlignment="0" applyProtection="0"/>
    <xf numFmtId="0" fontId="43" fillId="57" borderId="0" applyNumberFormat="0" applyBorder="0" applyAlignment="0" applyProtection="0"/>
    <xf numFmtId="0" fontId="16" fillId="24" borderId="0" applyNumberFormat="0" applyBorder="0" applyAlignment="0" applyProtection="0"/>
    <xf numFmtId="0" fontId="43" fillId="58" borderId="0" applyNumberFormat="0" applyBorder="0" applyAlignment="0" applyProtection="0"/>
    <xf numFmtId="0" fontId="16" fillId="28" borderId="0" applyNumberFormat="0" applyBorder="0" applyAlignment="0" applyProtection="0"/>
    <xf numFmtId="0" fontId="43" fillId="59" borderId="0" applyNumberFormat="0" applyBorder="0" applyAlignment="0" applyProtection="0"/>
    <xf numFmtId="0" fontId="16" fillId="32" borderId="0" applyNumberFormat="0" applyBorder="0" applyAlignment="0" applyProtection="0"/>
    <xf numFmtId="0" fontId="81" fillId="56" borderId="0" applyNumberFormat="0" applyBorder="0" applyAlignment="0" applyProtection="0"/>
    <xf numFmtId="0" fontId="81" fillId="56" borderId="0" applyNumberFormat="0" applyBorder="0" applyAlignment="0" applyProtection="0"/>
    <xf numFmtId="0" fontId="81" fillId="56" borderId="0" applyNumberFormat="0" applyBorder="0" applyAlignment="0" applyProtection="0"/>
    <xf numFmtId="0" fontId="81" fillId="56" borderId="0" applyNumberFormat="0" applyBorder="0" applyAlignment="0" applyProtection="0"/>
    <xf numFmtId="0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81" fillId="54" borderId="0" applyNumberFormat="0" applyBorder="0" applyAlignment="0" applyProtection="0"/>
    <xf numFmtId="0" fontId="81" fillId="54" borderId="0" applyNumberFormat="0" applyBorder="0" applyAlignment="0" applyProtection="0"/>
    <xf numFmtId="0" fontId="81" fillId="54" borderId="0" applyNumberFormat="0" applyBorder="0" applyAlignment="0" applyProtection="0"/>
    <xf numFmtId="0" fontId="81" fillId="54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9" borderId="0" applyNumberFormat="0" applyBorder="0" applyAlignment="0" applyProtection="0"/>
    <xf numFmtId="0" fontId="81" fillId="59" borderId="0" applyNumberFormat="0" applyBorder="0" applyAlignment="0" applyProtection="0"/>
    <xf numFmtId="0" fontId="81" fillId="59" borderId="0" applyNumberFormat="0" applyBorder="0" applyAlignment="0" applyProtection="0"/>
    <xf numFmtId="0" fontId="81" fillId="59" borderId="0" applyNumberFormat="0" applyBorder="0" applyAlignment="0" applyProtection="0"/>
    <xf numFmtId="37" fontId="60" fillId="0" borderId="0"/>
    <xf numFmtId="0" fontId="43" fillId="60" borderId="0" applyNumberFormat="0" applyBorder="0" applyAlignment="0" applyProtection="0"/>
    <xf numFmtId="0" fontId="16" fillId="9" borderId="0" applyNumberFormat="0" applyBorder="0" applyAlignment="0" applyProtection="0"/>
    <xf numFmtId="0" fontId="43" fillId="61" borderId="0" applyNumberFormat="0" applyBorder="0" applyAlignment="0" applyProtection="0"/>
    <xf numFmtId="0" fontId="16" fillId="13" borderId="0" applyNumberFormat="0" applyBorder="0" applyAlignment="0" applyProtection="0"/>
    <xf numFmtId="0" fontId="43" fillId="62" borderId="0" applyNumberFormat="0" applyBorder="0" applyAlignment="0" applyProtection="0"/>
    <xf numFmtId="0" fontId="16" fillId="17" borderId="0" applyNumberFormat="0" applyBorder="0" applyAlignment="0" applyProtection="0"/>
    <xf numFmtId="0" fontId="43" fillId="57" borderId="0" applyNumberFormat="0" applyBorder="0" applyAlignment="0" applyProtection="0"/>
    <xf numFmtId="0" fontId="16" fillId="21" borderId="0" applyNumberFormat="0" applyBorder="0" applyAlignment="0" applyProtection="0"/>
    <xf numFmtId="0" fontId="43" fillId="58" borderId="0" applyNumberFormat="0" applyBorder="0" applyAlignment="0" applyProtection="0"/>
    <xf numFmtId="0" fontId="16" fillId="25" borderId="0" applyNumberFormat="0" applyBorder="0" applyAlignment="0" applyProtection="0"/>
    <xf numFmtId="0" fontId="43" fillId="63" borderId="0" applyNumberFormat="0" applyBorder="0" applyAlignment="0" applyProtection="0"/>
    <xf numFmtId="0" fontId="16" fillId="29" borderId="0" applyNumberFormat="0" applyBorder="0" applyAlignment="0" applyProtection="0"/>
    <xf numFmtId="0" fontId="128" fillId="64" borderId="11" applyNumberFormat="0" applyFont="0" applyBorder="0" applyAlignment="0" applyProtection="0">
      <protection hidden="1"/>
    </xf>
    <xf numFmtId="0" fontId="210" fillId="47" borderId="0" applyNumberFormat="0" applyBorder="0" applyAlignment="0" applyProtection="0"/>
    <xf numFmtId="0" fontId="6" fillId="3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211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3" fillId="64" borderId="30" applyNumberFormat="0" applyAlignment="0" applyProtection="0"/>
    <xf numFmtId="0" fontId="10" fillId="6" borderId="4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149" fillId="0" borderId="0"/>
    <xf numFmtId="0" fontId="84" fillId="65" borderId="31" applyNumberFormat="0" applyAlignment="0" applyProtection="0"/>
    <xf numFmtId="0" fontId="84" fillId="65" borderId="31" applyNumberFormat="0" applyAlignment="0" applyProtection="0"/>
    <xf numFmtId="0" fontId="84" fillId="65" borderId="31" applyNumberFormat="0" applyAlignment="0" applyProtection="0"/>
    <xf numFmtId="0" fontId="84" fillId="65" borderId="31" applyNumberFormat="0" applyAlignment="0" applyProtection="0"/>
    <xf numFmtId="0" fontId="84" fillId="65" borderId="31" applyNumberFormat="0" applyAlignment="0" applyProtection="0"/>
    <xf numFmtId="0" fontId="91" fillId="0" borderId="32" applyNumberFormat="0" applyFill="0" applyAlignment="0" applyProtection="0"/>
    <xf numFmtId="0" fontId="91" fillId="0" borderId="32" applyNumberFormat="0" applyFill="0" applyAlignment="0" applyProtection="0"/>
    <xf numFmtId="0" fontId="91" fillId="0" borderId="32" applyNumberFormat="0" applyFill="0" applyAlignment="0" applyProtection="0"/>
    <xf numFmtId="0" fontId="91" fillId="0" borderId="32" applyNumberFormat="0" applyFill="0" applyAlignment="0" applyProtection="0"/>
    <xf numFmtId="0" fontId="91" fillId="0" borderId="32" applyNumberFormat="0" applyFill="0" applyAlignment="0" applyProtection="0"/>
    <xf numFmtId="0" fontId="12" fillId="7" borderId="7" applyNumberFormat="0" applyAlignment="0" applyProtection="0"/>
    <xf numFmtId="0" fontId="27" fillId="0" borderId="14">
      <alignment horizontal="left" wrapText="1"/>
    </xf>
    <xf numFmtId="38" fontId="127" fillId="0" borderId="0">
      <alignment horizontal="center"/>
      <protection locked="0"/>
    </xf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274" fontId="18" fillId="0" borderId="0" applyFont="0" applyFill="0" applyBorder="0" applyProtection="0">
      <protection locked="0"/>
    </xf>
    <xf numFmtId="168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79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275" fontId="79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54" fillId="0" borderId="0">
      <protection locked="0"/>
    </xf>
    <xf numFmtId="15" fontId="18" fillId="0" borderId="0" applyFont="0" applyFill="0" applyBorder="0" applyProtection="0"/>
    <xf numFmtId="276" fontId="157" fillId="0" borderId="0">
      <protection locked="0"/>
    </xf>
    <xf numFmtId="276" fontId="157" fillId="0" borderId="0">
      <protection locked="0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79" fillId="95" borderId="0" applyNumberFormat="0" applyBorder="0" applyAlignment="0" applyProtection="0"/>
    <xf numFmtId="0" fontId="79" fillId="96" borderId="0" applyNumberFormat="0" applyBorder="0" applyAlignment="0" applyProtection="0"/>
    <xf numFmtId="0" fontId="81" fillId="60" borderId="0" applyNumberFormat="0" applyBorder="0" applyAlignment="0" applyProtection="0"/>
    <xf numFmtId="0" fontId="81" fillId="60" borderId="0" applyNumberFormat="0" applyBorder="0" applyAlignment="0" applyProtection="0"/>
    <xf numFmtId="0" fontId="81" fillId="60" borderId="0" applyNumberFormat="0" applyBorder="0" applyAlignment="0" applyProtection="0"/>
    <xf numFmtId="0" fontId="81" fillId="60" borderId="0" applyNumberFormat="0" applyBorder="0" applyAlignment="0" applyProtection="0"/>
    <xf numFmtId="0" fontId="81" fillId="60" borderId="0" applyNumberFormat="0" applyBorder="0" applyAlignment="0" applyProtection="0"/>
    <xf numFmtId="0" fontId="79" fillId="95" borderId="0" applyNumberFormat="0" applyBorder="0" applyAlignment="0" applyProtection="0"/>
    <xf numFmtId="0" fontId="79" fillId="99" borderId="0" applyNumberFormat="0" applyBorder="0" applyAlignment="0" applyProtection="0"/>
    <xf numFmtId="0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79" fillId="95" borderId="0" applyNumberFormat="0" applyBorder="0" applyAlignment="0" applyProtection="0"/>
    <xf numFmtId="0" fontId="79" fillId="95" borderId="0" applyNumberFormat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79" fillId="95" borderId="0" applyNumberFormat="0" applyBorder="0" applyAlignment="0" applyProtection="0"/>
    <xf numFmtId="0" fontId="79" fillId="99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79" fillId="95" borderId="0" applyNumberFormat="0" applyBorder="0" applyAlignment="0" applyProtection="0"/>
    <xf numFmtId="0" fontId="79" fillId="95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79" fillId="102" borderId="0" applyNumberFormat="0" applyBorder="0" applyAlignment="0" applyProtection="0"/>
    <xf numFmtId="0" fontId="79" fillId="102" borderId="0" applyNumberFormat="0" applyBorder="0" applyAlignment="0" applyProtection="0"/>
    <xf numFmtId="0" fontId="81" fillId="63" borderId="0" applyNumberFormat="0" applyBorder="0" applyAlignment="0" applyProtection="0"/>
    <xf numFmtId="0" fontId="81" fillId="63" borderId="0" applyNumberFormat="0" applyBorder="0" applyAlignment="0" applyProtection="0"/>
    <xf numFmtId="0" fontId="81" fillId="63" borderId="0" applyNumberFormat="0" applyBorder="0" applyAlignment="0" applyProtection="0"/>
    <xf numFmtId="0" fontId="81" fillId="63" borderId="0" applyNumberFormat="0" applyBorder="0" applyAlignment="0" applyProtection="0"/>
    <xf numFmtId="0" fontId="81" fillId="63" borderId="0" applyNumberFormat="0" applyBorder="0" applyAlignment="0" applyProtection="0"/>
    <xf numFmtId="0" fontId="90" fillId="51" borderId="30" applyNumberFormat="0" applyAlignment="0" applyProtection="0"/>
    <xf numFmtId="0" fontId="90" fillId="51" borderId="30" applyNumberFormat="0" applyAlignment="0" applyProtection="0"/>
    <xf numFmtId="0" fontId="90" fillId="51" borderId="30" applyNumberFormat="0" applyAlignment="0" applyProtection="0"/>
    <xf numFmtId="0" fontId="90" fillId="51" borderId="30" applyNumberFormat="0" applyAlignment="0" applyProtection="0"/>
    <xf numFmtId="0" fontId="90" fillId="51" borderId="30" applyNumberFormat="0" applyAlignment="0" applyProtection="0"/>
    <xf numFmtId="0" fontId="209" fillId="0" borderId="0"/>
    <xf numFmtId="0" fontId="209" fillId="0" borderId="0"/>
    <xf numFmtId="0" fontId="18" fillId="0" borderId="0"/>
    <xf numFmtId="0" fontId="68" fillId="0" borderId="0"/>
    <xf numFmtId="277" fontId="18" fillId="0" borderId="0" applyFont="0" applyFill="0" applyBorder="0" applyAlignment="0" applyProtection="0"/>
    <xf numFmtId="277" fontId="18" fillId="0" borderId="0" applyFont="0" applyFill="0" applyBorder="0" applyAlignment="0" applyProtection="0"/>
    <xf numFmtId="278" fontId="18" fillId="0" borderId="0" applyFont="0" applyFill="0" applyBorder="0" applyAlignment="0" applyProtection="0"/>
    <xf numFmtId="228" fontId="18" fillId="0" borderId="0" applyFont="0" applyFill="0" applyBorder="0" applyAlignment="0" applyProtection="0"/>
    <xf numFmtId="229" fontId="46" fillId="0" borderId="0" applyFont="0" applyFill="0" applyBorder="0" applyAlignment="0" applyProtection="0"/>
    <xf numFmtId="0" fontId="2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9" fillId="0" borderId="0" applyFont="0" applyFill="0" applyBorder="0" applyAlignment="0" applyProtection="0"/>
    <xf numFmtId="279" fontId="54" fillId="0" borderId="0">
      <protection locked="0"/>
    </xf>
    <xf numFmtId="4" fontId="54" fillId="0" borderId="0">
      <protection locked="0"/>
    </xf>
    <xf numFmtId="164" fontId="18" fillId="0" borderId="0">
      <protection locked="0"/>
    </xf>
    <xf numFmtId="280" fontId="18" fillId="0" borderId="0">
      <alignment horizontal="center"/>
    </xf>
    <xf numFmtId="0" fontId="45" fillId="0" borderId="0" applyFill="0" applyBorder="0" applyProtection="0">
      <alignment horizontal="left"/>
    </xf>
    <xf numFmtId="0" fontId="5" fillId="2" borderId="0" applyNumberFormat="0" applyBorder="0" applyAlignment="0" applyProtection="0"/>
    <xf numFmtId="0" fontId="59" fillId="0" borderId="21">
      <alignment horizontal="left"/>
    </xf>
    <xf numFmtId="0" fontId="59" fillId="0" borderId="0" applyNumberFormat="0" applyFill="0" applyBorder="0" applyAlignment="0" applyProtection="0">
      <alignment vertical="top"/>
    </xf>
    <xf numFmtId="0" fontId="2" fillId="0" borderId="1" applyNumberFormat="0" applyFill="0" applyAlignment="0" applyProtection="0"/>
    <xf numFmtId="0" fontId="29" fillId="0" borderId="0" applyNumberFormat="0" applyFill="0" applyBorder="0" applyAlignment="0" applyProtection="0">
      <alignment vertical="top"/>
    </xf>
    <xf numFmtId="0" fontId="3" fillId="0" borderId="2" applyNumberFormat="0" applyFill="0" applyAlignment="0" applyProtection="0"/>
    <xf numFmtId="0" fontId="215" fillId="0" borderId="35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157" fillId="0" borderId="0">
      <protection locked="0"/>
    </xf>
    <xf numFmtId="0" fontId="157" fillId="0" borderId="0">
      <protection locked="0"/>
    </xf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216" fillId="0" borderId="0"/>
    <xf numFmtId="10" fontId="33" fillId="67" borderId="14" applyNumberFormat="0" applyBorder="0" applyAlignment="0" applyProtection="0"/>
    <xf numFmtId="0" fontId="217" fillId="51" borderId="30" applyNumberFormat="0" applyAlignment="0" applyProtection="0"/>
    <xf numFmtId="0" fontId="217" fillId="51" borderId="30" applyNumberFormat="0" applyAlignment="0" applyProtection="0"/>
    <xf numFmtId="0" fontId="217" fillId="51" borderId="30" applyNumberFormat="0" applyAlignment="0" applyProtection="0"/>
    <xf numFmtId="0" fontId="217" fillId="51" borderId="30" applyNumberFormat="0" applyAlignment="0" applyProtection="0"/>
    <xf numFmtId="0" fontId="8" fillId="5" borderId="4" applyNumberFormat="0" applyAlignment="0" applyProtection="0"/>
    <xf numFmtId="3" fontId="61" fillId="37" borderId="14">
      <protection locked="0"/>
    </xf>
    <xf numFmtId="266" fontId="218" fillId="0" borderId="11">
      <protection locked="0"/>
    </xf>
    <xf numFmtId="0" fontId="54" fillId="0" borderId="11">
      <protection locked="0"/>
    </xf>
    <xf numFmtId="0" fontId="157" fillId="0" borderId="27">
      <alignment horizontal="center"/>
      <protection locked="0"/>
    </xf>
    <xf numFmtId="0" fontId="54" fillId="0" borderId="0">
      <protection locked="0"/>
    </xf>
    <xf numFmtId="0" fontId="11" fillId="0" borderId="6" applyNumberFormat="0" applyFill="0" applyAlignment="0" applyProtection="0"/>
    <xf numFmtId="43" fontId="79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2" fontId="79" fillId="0" borderId="0" applyFont="0" applyFill="0" applyBorder="0" applyAlignment="0" applyProtection="0"/>
    <xf numFmtId="172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75" fontId="79" fillId="0" borderId="0" applyFont="0" applyFill="0" applyBorder="0" applyAlignment="0" applyProtection="0"/>
    <xf numFmtId="275" fontId="79" fillId="0" borderId="0" applyFont="0" applyFill="0" applyBorder="0" applyAlignment="0" applyProtection="0"/>
    <xf numFmtId="281" fontId="54" fillId="0" borderId="0">
      <protection locked="0"/>
    </xf>
    <xf numFmtId="282" fontId="159" fillId="0" borderId="0" applyFont="0" applyFill="0" applyBorder="0" applyAlignment="0" applyProtection="0"/>
    <xf numFmtId="0" fontId="54" fillId="0" borderId="11">
      <protection locked="0"/>
    </xf>
    <xf numFmtId="0" fontId="92" fillId="66" borderId="0" applyNumberFormat="0" applyBorder="0" applyAlignment="0" applyProtection="0"/>
    <xf numFmtId="0" fontId="92" fillId="66" borderId="0" applyNumberFormat="0" applyBorder="0" applyAlignment="0" applyProtection="0"/>
    <xf numFmtId="0" fontId="92" fillId="66" borderId="0" applyNumberFormat="0" applyBorder="0" applyAlignment="0" applyProtection="0"/>
    <xf numFmtId="0" fontId="92" fillId="66" borderId="0" applyNumberFormat="0" applyBorder="0" applyAlignment="0" applyProtection="0"/>
    <xf numFmtId="0" fontId="92" fillId="66" borderId="0" applyNumberFormat="0" applyBorder="0" applyAlignment="0" applyProtection="0"/>
    <xf numFmtId="0" fontId="92" fillId="103" borderId="0" applyNumberFormat="0" applyBorder="0" applyAlignment="0" applyProtection="0"/>
    <xf numFmtId="0" fontId="7" fillId="4" borderId="0" applyNumberFormat="0" applyBorder="0" applyAlignment="0" applyProtection="0"/>
    <xf numFmtId="283" fontId="18" fillId="0" borderId="0"/>
    <xf numFmtId="0" fontId="1" fillId="0" borderId="0"/>
    <xf numFmtId="0" fontId="1" fillId="0" borderId="0"/>
    <xf numFmtId="0" fontId="219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7" fillId="0" borderId="0"/>
    <xf numFmtId="0" fontId="220" fillId="0" borderId="0"/>
    <xf numFmtId="0" fontId="220" fillId="0" borderId="0"/>
    <xf numFmtId="0" fontId="2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284" fontId="33" fillId="0" borderId="0" applyFont="0" applyFill="0" applyBorder="0" applyAlignment="0" applyProtection="0"/>
    <xf numFmtId="284" fontId="221" fillId="0" borderId="0" applyFont="0" applyFill="0" applyBorder="0" applyAlignment="0" applyProtection="0"/>
    <xf numFmtId="0" fontId="18" fillId="67" borderId="36" applyNumberFormat="0" applyFont="0" applyAlignment="0" applyProtection="0"/>
    <xf numFmtId="0" fontId="18" fillId="67" borderId="36" applyNumberFormat="0" applyFont="0" applyAlignment="0" applyProtection="0"/>
    <xf numFmtId="0" fontId="1" fillId="8" borderId="8" applyNumberFormat="0" applyFont="0" applyAlignment="0" applyProtection="0"/>
    <xf numFmtId="0" fontId="222" fillId="64" borderId="19" applyNumberFormat="0" applyAlignment="0" applyProtection="0"/>
    <xf numFmtId="0" fontId="9" fillId="6" borderId="5" applyNumberFormat="0" applyAlignment="0" applyProtection="0"/>
    <xf numFmtId="0" fontId="223" fillId="0" borderId="14" applyFill="0" applyProtection="0">
      <alignment vertical="center" wrapText="1"/>
      <protection locked="0"/>
    </xf>
    <xf numFmtId="0" fontId="223" fillId="0" borderId="14" applyFill="0" applyProtection="0">
      <alignment vertical="center" wrapText="1"/>
      <protection locked="0"/>
    </xf>
    <xf numFmtId="0" fontId="223" fillId="0" borderId="14" applyFill="0" applyProtection="0">
      <alignment vertical="center" wrapText="1"/>
      <protection locked="0"/>
    </xf>
    <xf numFmtId="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8" fillId="0" borderId="0" applyFont="0" applyFill="0" applyBorder="0" applyAlignment="0" applyProtection="0"/>
    <xf numFmtId="10" fontId="18" fillId="0" borderId="0" applyFill="0" applyBorder="0" applyAlignment="0" applyProtection="0"/>
    <xf numFmtId="9" fontId="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37" fontId="18" fillId="0" borderId="14" applyFont="0" applyFill="0" applyBorder="0" applyProtection="0"/>
    <xf numFmtId="285" fontId="54" fillId="0" borderId="0">
      <protection locked="0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54" fillId="0" borderId="11">
      <protection locked="0"/>
    </xf>
    <xf numFmtId="0" fontId="45" fillId="0" borderId="18" applyNumberFormat="0" applyAlignment="0"/>
    <xf numFmtId="3" fontId="159" fillId="0" borderId="0" applyFont="0" applyFill="0" applyBorder="0" applyAlignment="0" applyProtection="0"/>
    <xf numFmtId="0" fontId="32" fillId="111" borderId="14" applyNumberFormat="0" applyBorder="0" applyAlignment="0">
      <alignment horizontal="right"/>
    </xf>
    <xf numFmtId="0" fontId="224" fillId="0" borderId="0" applyNumberFormat="0" applyFill="0" applyBorder="0" applyProtection="0">
      <alignment horizontal="right" vertical="center"/>
    </xf>
    <xf numFmtId="0" fontId="93" fillId="64" borderId="19" applyNumberFormat="0" applyAlignment="0" applyProtection="0"/>
    <xf numFmtId="0" fontId="93" fillId="64" borderId="19" applyNumberFormat="0" applyAlignment="0" applyProtection="0"/>
    <xf numFmtId="0" fontId="93" fillId="64" borderId="19" applyNumberFormat="0" applyAlignment="0" applyProtection="0"/>
    <xf numFmtId="0" fontId="93" fillId="64" borderId="19" applyNumberFormat="0" applyAlignment="0" applyProtection="0"/>
    <xf numFmtId="0" fontId="93" fillId="64" borderId="19" applyNumberFormat="0" applyAlignment="0" applyProtection="0"/>
    <xf numFmtId="0" fontId="225" fillId="0" borderId="0"/>
    <xf numFmtId="167" fontId="226" fillId="0" borderId="0" applyFont="0" applyFill="0" applyBorder="0" applyAlignment="0" applyProtection="0"/>
    <xf numFmtId="169" fontId="226" fillId="0" borderId="0" applyFont="0" applyFill="0" applyBorder="0" applyAlignment="0" applyProtection="0"/>
    <xf numFmtId="0" fontId="227" fillId="0" borderId="0"/>
    <xf numFmtId="0" fontId="33" fillId="0" borderId="0" applyNumberFormat="0">
      <alignment vertical="top" wrapText="1" shrinkToFit="1"/>
    </xf>
    <xf numFmtId="0" fontId="68" fillId="0" borderId="0"/>
    <xf numFmtId="0" fontId="45" fillId="0" borderId="0" applyNumberFormat="0" applyFill="0" applyBorder="0" applyProtection="0">
      <alignment horizontal="left" vertical="top" wrapText="1"/>
    </xf>
    <xf numFmtId="3" fontId="18" fillId="0" borderId="14" applyNumberFormat="0" applyFont="0" applyFill="0" applyAlignment="0" applyProtection="0">
      <alignment vertical="center"/>
    </xf>
    <xf numFmtId="0" fontId="39" fillId="0" borderId="0" applyFill="0" applyBorder="0" applyProtection="0">
      <alignment horizontal="left"/>
    </xf>
    <xf numFmtId="0" fontId="33" fillId="0" borderId="26" applyFill="0" applyBorder="0" applyProtection="0">
      <alignment horizontal="left" vertical="top"/>
    </xf>
    <xf numFmtId="0" fontId="228" fillId="45" borderId="67" applyNumberFormat="0">
      <alignment horizontal="right"/>
    </xf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7" fillId="0" borderId="33" applyNumberFormat="0" applyFill="0" applyAlignment="0" applyProtection="0"/>
    <xf numFmtId="0" fontId="87" fillId="0" borderId="33" applyNumberFormat="0" applyFill="0" applyAlignment="0" applyProtection="0"/>
    <xf numFmtId="0" fontId="87" fillId="0" borderId="33" applyNumberFormat="0" applyFill="0" applyAlignment="0" applyProtection="0"/>
    <xf numFmtId="0" fontId="87" fillId="0" borderId="33" applyNumberFormat="0" applyFill="0" applyAlignment="0" applyProtection="0"/>
    <xf numFmtId="0" fontId="87" fillId="0" borderId="33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9" fillId="0" borderId="35" applyNumberFormat="0" applyFill="0" applyAlignment="0" applyProtection="0"/>
    <xf numFmtId="0" fontId="89" fillId="0" borderId="35" applyNumberFormat="0" applyFill="0" applyAlignment="0" applyProtection="0"/>
    <xf numFmtId="0" fontId="89" fillId="0" borderId="35" applyNumberFormat="0" applyFill="0" applyAlignment="0" applyProtection="0"/>
    <xf numFmtId="0" fontId="89" fillId="0" borderId="35" applyNumberFormat="0" applyFill="0" applyAlignment="0" applyProtection="0"/>
    <xf numFmtId="0" fontId="89" fillId="0" borderId="35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29" fillId="0" borderId="0"/>
    <xf numFmtId="276" fontId="54" fillId="0" borderId="25">
      <protection locked="0"/>
    </xf>
    <xf numFmtId="276" fontId="54" fillId="0" borderId="25">
      <protection locked="0"/>
    </xf>
    <xf numFmtId="0" fontId="95" fillId="0" borderId="37" applyNumberFormat="0" applyFill="0" applyAlignment="0" applyProtection="0"/>
    <xf numFmtId="276" fontId="54" fillId="0" borderId="25">
      <protection locked="0"/>
    </xf>
    <xf numFmtId="0" fontId="95" fillId="0" borderId="68" applyNumberFormat="0" applyFill="0" applyAlignment="0" applyProtection="0"/>
    <xf numFmtId="0" fontId="15" fillId="0" borderId="9" applyNumberFormat="0" applyFill="0" applyAlignment="0" applyProtection="0"/>
    <xf numFmtId="286" fontId="18" fillId="0" borderId="0" applyFont="0" applyFill="0" applyBorder="0" applyAlignment="0" applyProtection="0"/>
    <xf numFmtId="287" fontId="1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3" fillId="120" borderId="15">
      <alignment horizontal="center" vertical="center" wrapText="1"/>
      <protection locked="0"/>
    </xf>
    <xf numFmtId="0" fontId="163" fillId="120" borderId="15">
      <alignment horizontal="center" vertical="center" wrapText="1"/>
      <protection locked="0"/>
    </xf>
    <xf numFmtId="0" fontId="18" fillId="120" borderId="15">
      <alignment horizontal="center" vertical="center" wrapText="1"/>
      <protection locked="0"/>
    </xf>
    <xf numFmtId="0" fontId="18" fillId="120" borderId="15">
      <alignment horizontal="center" vertical="center" wrapText="1"/>
      <protection locked="0"/>
    </xf>
    <xf numFmtId="0" fontId="163" fillId="120" borderId="15">
      <alignment horizontal="center" vertical="center" wrapText="1"/>
      <protection locked="0"/>
    </xf>
    <xf numFmtId="0" fontId="18" fillId="120" borderId="15">
      <alignment horizontal="center" vertical="center" wrapText="1"/>
      <protection locked="0"/>
    </xf>
    <xf numFmtId="0" fontId="163" fillId="120" borderId="15">
      <alignment horizontal="center" vertical="center" wrapText="1"/>
      <protection locked="0"/>
    </xf>
    <xf numFmtId="0" fontId="230" fillId="0" borderId="0" applyBorder="0"/>
    <xf numFmtId="177" fontId="17" fillId="0" borderId="0" applyFont="0" applyFill="0" applyBorder="0" applyAlignment="0" applyProtection="0">
      <alignment vertical="top"/>
    </xf>
    <xf numFmtId="0" fontId="17" fillId="0" borderId="0"/>
    <xf numFmtId="205" fontId="17" fillId="0" borderId="0" applyFill="0" applyBorder="0">
      <protection locked="0"/>
    </xf>
    <xf numFmtId="219" fontId="17" fillId="0" borderId="0" applyFill="0" applyBorder="0">
      <protection locked="0"/>
    </xf>
    <xf numFmtId="15" fontId="17" fillId="0" borderId="0" applyFill="0" applyBorder="0">
      <protection locked="0"/>
    </xf>
    <xf numFmtId="0" fontId="17" fillId="0" borderId="55" applyNumberFormat="0">
      <protection locked="0"/>
    </xf>
    <xf numFmtId="2" fontId="17" fillId="0" borderId="0" applyFill="0" applyBorder="0">
      <protection locked="0"/>
    </xf>
    <xf numFmtId="186" fontId="17" fillId="0" borderId="0" applyFill="0" applyBorder="0">
      <protection locked="0"/>
    </xf>
    <xf numFmtId="0" fontId="17" fillId="0" borderId="0" applyFill="0" applyBorder="0">
      <protection locked="0"/>
    </xf>
    <xf numFmtId="251" fontId="17" fillId="0" borderId="0" applyFill="0" applyBorder="0">
      <protection locked="0"/>
    </xf>
    <xf numFmtId="254" fontId="17" fillId="0" borderId="0" applyFill="0" applyBorder="0">
      <protection locked="0"/>
    </xf>
    <xf numFmtId="0" fontId="232" fillId="0" borderId="0" applyFill="0" applyBorder="0" applyAlignment="0" applyProtection="0"/>
    <xf numFmtId="9" fontId="232" fillId="0" borderId="0" applyFont="0" applyFill="0" applyBorder="0" applyAlignment="0" applyProtection="0"/>
    <xf numFmtId="288" fontId="154" fillId="38" borderId="0">
      <alignment horizontal="right"/>
    </xf>
    <xf numFmtId="0" fontId="33" fillId="0" borderId="0"/>
    <xf numFmtId="0" fontId="33" fillId="0" borderId="0" applyFill="0" applyBorder="0" applyAlignment="0" applyProtection="0"/>
    <xf numFmtId="0" fontId="232" fillId="0" borderId="0" applyFill="0" applyBorder="0" applyAlignment="0" applyProtection="0"/>
    <xf numFmtId="0" fontId="252" fillId="122" borderId="0" applyNumberFormat="0" applyBorder="0" applyAlignment="0" applyProtection="0"/>
    <xf numFmtId="294" fontId="232" fillId="0" borderId="0" applyFont="0" applyFill="0" applyBorder="0" applyAlignment="0" applyProtection="0"/>
    <xf numFmtId="293" fontId="232" fillId="0" borderId="0" applyFont="0" applyFill="0" applyBorder="0" applyAlignment="0" applyProtection="0"/>
  </cellStyleXfs>
  <cellXfs count="152">
    <xf numFmtId="0" fontId="0" fillId="0" borderId="0" xfId="0"/>
    <xf numFmtId="0" fontId="239" fillId="0" borderId="0" xfId="0" applyFont="1" applyFill="1" applyBorder="1"/>
    <xf numFmtId="0" fontId="33" fillId="0" borderId="0" xfId="1489" applyFont="1" applyFill="1" applyBorder="1"/>
    <xf numFmtId="37" fontId="247" fillId="0" borderId="0" xfId="1658" applyNumberFormat="1" applyFont="1" applyFill="1" applyBorder="1"/>
    <xf numFmtId="1" fontId="247" fillId="0" borderId="0" xfId="1658" applyNumberFormat="1" applyFont="1" applyFill="1" applyBorder="1"/>
    <xf numFmtId="182" fontId="33" fillId="0" borderId="0" xfId="1659" applyNumberFormat="1" applyFont="1" applyFill="1" applyBorder="1" applyAlignment="1">
      <alignment horizontal="right" vertical="center"/>
    </xf>
    <xf numFmtId="182" fontId="239" fillId="0" borderId="0" xfId="1659" applyNumberFormat="1" applyFont="1" applyFill="1" applyBorder="1" applyAlignment="1">
      <alignment horizontal="right" vertical="center"/>
    </xf>
    <xf numFmtId="0" fontId="231" fillId="0" borderId="0" xfId="1658" applyFont="1" applyFill="1" applyBorder="1" applyAlignment="1">
      <alignment horizontal="center"/>
    </xf>
    <xf numFmtId="0" fontId="247" fillId="0" borderId="0" xfId="1658" applyFont="1" applyFill="1" applyBorder="1"/>
    <xf numFmtId="0" fontId="239" fillId="0" borderId="0" xfId="1658" applyFont="1" applyFill="1" applyBorder="1"/>
    <xf numFmtId="0" fontId="33" fillId="0" borderId="0" xfId="1658" applyFont="1" applyFill="1" applyBorder="1" applyAlignment="1">
      <alignment horizontal="left" indent="1"/>
    </xf>
    <xf numFmtId="217" fontId="239" fillId="0" borderId="0" xfId="1659" applyNumberFormat="1" applyFont="1" applyFill="1" applyBorder="1" applyAlignment="1">
      <alignment horizontal="right" vertical="center"/>
    </xf>
    <xf numFmtId="0" fontId="32" fillId="0" borderId="0" xfId="1658" applyFont="1" applyFill="1" applyBorder="1"/>
    <xf numFmtId="0" fontId="245" fillId="0" borderId="0" xfId="1658" applyFont="1" applyFill="1" applyBorder="1"/>
    <xf numFmtId="0" fontId="239" fillId="0" borderId="0" xfId="0" applyFont="1"/>
    <xf numFmtId="0" fontId="239" fillId="0" borderId="0" xfId="0" applyNumberFormat="1" applyFont="1"/>
    <xf numFmtId="9" fontId="248" fillId="0" borderId="0" xfId="77" applyNumberFormat="1" applyFont="1" applyFill="1" applyBorder="1" applyAlignment="1">
      <alignment horizontal="center" vertical="center"/>
    </xf>
    <xf numFmtId="9" fontId="248" fillId="0" borderId="0" xfId="77" applyFont="1" applyFill="1" applyBorder="1" applyAlignment="1">
      <alignment horizontal="center" vertical="center"/>
    </xf>
    <xf numFmtId="290" fontId="248" fillId="0" borderId="0" xfId="1658" applyNumberFormat="1" applyFont="1" applyFill="1" applyBorder="1" applyAlignment="1">
      <alignment horizontal="center" vertical="center"/>
    </xf>
    <xf numFmtId="290" fontId="242" fillId="0" borderId="0" xfId="1489" applyNumberFormat="1" applyFont="1" applyFill="1" applyBorder="1" applyAlignment="1">
      <alignment horizontal="center"/>
    </xf>
    <xf numFmtId="217" fontId="235" fillId="0" borderId="0" xfId="1659" applyNumberFormat="1" applyFont="1" applyFill="1" applyBorder="1" applyAlignment="1">
      <alignment horizontal="center" vertical="center"/>
    </xf>
    <xf numFmtId="217" fontId="242" fillId="0" borderId="0" xfId="1659" applyNumberFormat="1" applyFont="1" applyFill="1" applyBorder="1" applyAlignment="1">
      <alignment horizontal="center" vertical="center"/>
    </xf>
    <xf numFmtId="217" fontId="250" fillId="0" borderId="0" xfId="1659" applyNumberFormat="1" applyFont="1" applyFill="1" applyBorder="1" applyAlignment="1">
      <alignment horizontal="center" vertical="center"/>
    </xf>
    <xf numFmtId="291" fontId="248" fillId="0" borderId="0" xfId="1659" applyNumberFormat="1" applyFont="1" applyFill="1" applyBorder="1" applyAlignment="1">
      <alignment horizontal="center" vertical="center"/>
    </xf>
    <xf numFmtId="217" fontId="235" fillId="0" borderId="0" xfId="1659" applyNumberFormat="1" applyFont="1" applyFill="1" applyBorder="1" applyAlignment="1">
      <alignment horizontal="right" vertical="center"/>
    </xf>
    <xf numFmtId="217" fontId="250" fillId="0" borderId="0" xfId="1658" applyNumberFormat="1" applyFont="1" applyFill="1" applyBorder="1"/>
    <xf numFmtId="260" fontId="248" fillId="0" borderId="0" xfId="77" applyNumberFormat="1" applyFont="1" applyFill="1" applyBorder="1"/>
    <xf numFmtId="217" fontId="242" fillId="0" borderId="0" xfId="1659" applyNumberFormat="1" applyFont="1" applyFill="1" applyBorder="1" applyAlignment="1">
      <alignment horizontal="right" vertical="center"/>
    </xf>
    <xf numFmtId="0" fontId="233" fillId="123" borderId="0" xfId="0" applyFont="1" applyFill="1"/>
    <xf numFmtId="0" fontId="233" fillId="0" borderId="0" xfId="0" applyFont="1"/>
    <xf numFmtId="0" fontId="238" fillId="0" borderId="0" xfId="0" applyFont="1" applyAlignment="1">
      <alignment horizontal="center"/>
    </xf>
    <xf numFmtId="0" fontId="241" fillId="0" borderId="0" xfId="0" applyFont="1"/>
    <xf numFmtId="0" fontId="234" fillId="124" borderId="0" xfId="0" applyFont="1" applyFill="1" applyBorder="1"/>
    <xf numFmtId="293" fontId="234" fillId="0" borderId="0" xfId="1661" applyNumberFormat="1" applyFont="1" applyFill="1" applyBorder="1" applyAlignment="1">
      <alignment horizontal="center"/>
    </xf>
    <xf numFmtId="291" fontId="234" fillId="0" borderId="0" xfId="1661" applyNumberFormat="1" applyFont="1" applyFill="1" applyBorder="1" applyAlignment="1">
      <alignment horizontal="center"/>
    </xf>
    <xf numFmtId="0" fontId="238" fillId="0" borderId="0" xfId="0" applyFont="1" applyAlignment="1">
      <alignment horizontal="left" indent="1"/>
    </xf>
    <xf numFmtId="291" fontId="237" fillId="0" borderId="0" xfId="1661" applyNumberFormat="1" applyFont="1" applyFill="1" applyBorder="1" applyAlignment="1">
      <alignment horizontal="center"/>
    </xf>
    <xf numFmtId="0" fontId="253" fillId="0" borderId="0" xfId="0" applyFont="1" applyAlignment="1">
      <alignment horizontal="center"/>
    </xf>
    <xf numFmtId="293" fontId="240" fillId="0" borderId="0" xfId="1661" applyNumberFormat="1" applyFont="1" applyFill="1" applyBorder="1" applyAlignment="1">
      <alignment horizontal="center"/>
    </xf>
    <xf numFmtId="0" fontId="254" fillId="0" borderId="69" xfId="0" applyFont="1" applyBorder="1"/>
    <xf numFmtId="0" fontId="251" fillId="0" borderId="69" xfId="0" applyFont="1" applyBorder="1"/>
    <xf numFmtId="0" fontId="238" fillId="0" borderId="69" xfId="0" applyFont="1" applyBorder="1" applyAlignment="1">
      <alignment horizontal="left" indent="1"/>
    </xf>
    <xf numFmtId="0" fontId="238" fillId="0" borderId="69" xfId="0" applyFont="1" applyBorder="1" applyAlignment="1">
      <alignment horizontal="center"/>
    </xf>
    <xf numFmtId="0" fontId="234" fillId="124" borderId="69" xfId="0" applyFont="1" applyFill="1" applyBorder="1"/>
    <xf numFmtId="291" fontId="237" fillId="0" borderId="69" xfId="1661" applyNumberFormat="1" applyFont="1" applyFill="1" applyBorder="1" applyAlignment="1">
      <alignment horizontal="center"/>
    </xf>
    <xf numFmtId="293" fontId="234" fillId="0" borderId="69" xfId="1661" applyNumberFormat="1" applyFont="1" applyFill="1" applyBorder="1" applyAlignment="1">
      <alignment horizontal="center"/>
    </xf>
    <xf numFmtId="0" fontId="241" fillId="0" borderId="69" xfId="0" applyFont="1" applyBorder="1"/>
    <xf numFmtId="0" fontId="253" fillId="0" borderId="69" xfId="0" applyFont="1" applyBorder="1" applyAlignment="1">
      <alignment horizontal="center"/>
    </xf>
    <xf numFmtId="0" fontId="240" fillId="124" borderId="0" xfId="0" applyFont="1" applyFill="1" applyBorder="1"/>
    <xf numFmtId="0" fontId="238" fillId="0" borderId="70" xfId="0" applyFont="1" applyBorder="1" applyAlignment="1">
      <alignment horizontal="left" indent="1"/>
    </xf>
    <xf numFmtId="0" fontId="238" fillId="0" borderId="70" xfId="0" applyFont="1" applyBorder="1" applyAlignment="1">
      <alignment horizontal="center"/>
    </xf>
    <xf numFmtId="0" fontId="234" fillId="124" borderId="70" xfId="0" applyFont="1" applyFill="1" applyBorder="1"/>
    <xf numFmtId="291" fontId="237" fillId="0" borderId="70" xfId="1661" applyNumberFormat="1" applyFont="1" applyFill="1" applyBorder="1" applyAlignment="1">
      <alignment horizontal="center"/>
    </xf>
    <xf numFmtId="293" fontId="234" fillId="0" borderId="70" xfId="1661" applyNumberFormat="1" applyFont="1" applyFill="1" applyBorder="1" applyAlignment="1">
      <alignment horizontal="center"/>
    </xf>
    <xf numFmtId="0" fontId="239" fillId="0" borderId="70" xfId="0" applyFont="1" applyBorder="1"/>
    <xf numFmtId="0" fontId="255" fillId="0" borderId="69" xfId="0" applyFont="1" applyBorder="1"/>
    <xf numFmtId="291" fontId="234" fillId="0" borderId="70" xfId="1661" applyNumberFormat="1" applyFont="1" applyFill="1" applyBorder="1" applyAlignment="1">
      <alignment horizontal="center"/>
    </xf>
    <xf numFmtId="296" fontId="255" fillId="0" borderId="69" xfId="0" applyNumberFormat="1" applyFont="1" applyBorder="1" applyAlignment="1">
      <alignment horizontal="center"/>
    </xf>
    <xf numFmtId="297" fontId="255" fillId="0" borderId="69" xfId="0" applyNumberFormat="1" applyFont="1" applyBorder="1" applyAlignment="1">
      <alignment horizontal="center"/>
    </xf>
    <xf numFmtId="293" fontId="244" fillId="125" borderId="0" xfId="1663" applyNumberFormat="1" applyFont="1" applyFill="1" applyBorder="1" applyAlignment="1">
      <alignment horizontal="center"/>
    </xf>
    <xf numFmtId="293" fontId="236" fillId="125" borderId="0" xfId="1663" applyNumberFormat="1" applyFont="1" applyFill="1" applyBorder="1" applyAlignment="1">
      <alignment horizontal="center"/>
    </xf>
    <xf numFmtId="296" fontId="255" fillId="0" borderId="0" xfId="0" applyNumberFormat="1" applyFont="1" applyBorder="1" applyAlignment="1">
      <alignment horizontal="center"/>
    </xf>
    <xf numFmtId="297" fontId="255" fillId="0" borderId="0" xfId="0" applyNumberFormat="1" applyFont="1" applyBorder="1" applyAlignment="1">
      <alignment horizontal="center"/>
    </xf>
    <xf numFmtId="0" fontId="238" fillId="0" borderId="0" xfId="0" applyNumberFormat="1" applyFont="1" applyAlignment="1">
      <alignment horizontal="left" indent="1"/>
    </xf>
    <xf numFmtId="17" fontId="32" fillId="0" borderId="0" xfId="1658" applyNumberFormat="1" applyFont="1" applyFill="1" applyBorder="1" applyAlignment="1">
      <alignment horizontal="right"/>
    </xf>
    <xf numFmtId="217" fontId="243" fillId="0" borderId="0" xfId="1659" applyNumberFormat="1" applyFont="1" applyFill="1" applyBorder="1" applyAlignment="1">
      <alignment horizontal="center" vertical="center"/>
    </xf>
    <xf numFmtId="0" fontId="32" fillId="0" borderId="0" xfId="1489" applyFont="1" applyFill="1" applyBorder="1"/>
    <xf numFmtId="217" fontId="250" fillId="0" borderId="0" xfId="1658" applyNumberFormat="1" applyFont="1" applyFill="1" applyBorder="1" applyAlignment="1">
      <alignment horizontal="center" vertical="center"/>
    </xf>
    <xf numFmtId="217" fontId="250" fillId="0" borderId="0" xfId="1489" applyNumberFormat="1" applyFont="1" applyFill="1" applyBorder="1"/>
    <xf numFmtId="0" fontId="1" fillId="0" borderId="0" xfId="1489" applyFill="1" applyBorder="1"/>
    <xf numFmtId="0" fontId="32" fillId="0" borderId="0" xfId="1489" applyFont="1" applyFill="1" applyBorder="1" applyAlignment="1">
      <alignment horizontal="centerContinuous"/>
    </xf>
    <xf numFmtId="0" fontId="239" fillId="0" borderId="0" xfId="0" applyNumberFormat="1" applyFont="1" applyFill="1" applyBorder="1"/>
    <xf numFmtId="289" fontId="245" fillId="0" borderId="0" xfId="1489" applyNumberFormat="1" applyFont="1" applyFill="1" applyBorder="1" applyAlignment="1">
      <alignment horizontal="right"/>
    </xf>
    <xf numFmtId="0" fontId="241" fillId="0" borderId="0" xfId="0" applyNumberFormat="1" applyFont="1" applyFill="1" applyBorder="1"/>
    <xf numFmtId="0" fontId="239" fillId="0" borderId="0" xfId="1489" applyFont="1" applyFill="1" applyBorder="1"/>
    <xf numFmtId="0" fontId="241" fillId="0" borderId="0" xfId="1658" applyFont="1" applyFill="1" applyBorder="1"/>
    <xf numFmtId="0" fontId="238" fillId="0" borderId="0" xfId="1658" applyFont="1" applyFill="1" applyBorder="1"/>
    <xf numFmtId="291" fontId="245" fillId="0" borderId="0" xfId="1658" applyNumberFormat="1" applyFont="1" applyFill="1" applyBorder="1" applyAlignment="1">
      <alignment horizontal="center" vertical="center"/>
    </xf>
    <xf numFmtId="290" fontId="249" fillId="0" borderId="0" xfId="1658" applyNumberFormat="1" applyFont="1" applyFill="1" applyBorder="1" applyAlignment="1">
      <alignment horizontal="center" vertical="center"/>
    </xf>
    <xf numFmtId="290" fontId="238" fillId="0" borderId="0" xfId="1658" applyNumberFormat="1" applyFont="1" applyFill="1" applyBorder="1" applyAlignment="1">
      <alignment horizontal="center" vertical="center"/>
    </xf>
    <xf numFmtId="0" fontId="33" fillId="0" borderId="0" xfId="1658" applyFont="1" applyFill="1" applyBorder="1"/>
    <xf numFmtId="292" fontId="33" fillId="0" borderId="0" xfId="1489" applyNumberFormat="1" applyFont="1" applyFill="1" applyBorder="1" applyAlignment="1">
      <alignment horizontal="center" vertical="center"/>
    </xf>
    <xf numFmtId="0" fontId="232" fillId="0" borderId="0" xfId="1658" applyFont="1" applyFill="1" applyBorder="1" applyAlignment="1">
      <alignment horizontal="left" indent="1"/>
    </xf>
    <xf numFmtId="217" fontId="246" fillId="0" borderId="0" xfId="1659" applyNumberFormat="1" applyFont="1" applyFill="1" applyBorder="1" applyAlignment="1">
      <alignment horizontal="center" vertical="center"/>
    </xf>
    <xf numFmtId="0" fontId="33" fillId="0" borderId="0" xfId="1489" applyFont="1" applyFill="1" applyBorder="1" applyAlignment="1">
      <alignment horizontal="left" indent="1"/>
    </xf>
    <xf numFmtId="292" fontId="33" fillId="0" borderId="0" xfId="1489" applyNumberFormat="1" applyFont="1" applyFill="1" applyBorder="1" applyAlignment="1">
      <alignment horizontal="right"/>
    </xf>
    <xf numFmtId="292" fontId="32" fillId="0" borderId="0" xfId="1489" applyNumberFormat="1" applyFont="1" applyFill="1" applyBorder="1" applyAlignment="1">
      <alignment horizontal="right"/>
    </xf>
    <xf numFmtId="0" fontId="256" fillId="0" borderId="0" xfId="1655" applyFont="1"/>
    <xf numFmtId="293" fontId="244" fillId="125" borderId="69" xfId="1663" applyNumberFormat="1" applyFont="1" applyFill="1" applyBorder="1" applyAlignment="1">
      <alignment horizontal="center"/>
    </xf>
    <xf numFmtId="0" fontId="233" fillId="121" borderId="0" xfId="0" applyFont="1" applyFill="1" applyAlignment="1">
      <alignment horizontal="centerContinuous"/>
    </xf>
    <xf numFmtId="0" fontId="233" fillId="123" borderId="0" xfId="0" applyFont="1" applyFill="1" applyAlignment="1">
      <alignment horizontal="centerContinuous"/>
    </xf>
    <xf numFmtId="0" fontId="233" fillId="121" borderId="71" xfId="0" applyFont="1" applyFill="1" applyBorder="1" applyAlignment="1">
      <alignment horizontal="centerContinuous"/>
    </xf>
    <xf numFmtId="0" fontId="241" fillId="0" borderId="0" xfId="0" applyFont="1" applyBorder="1"/>
    <xf numFmtId="0" fontId="253" fillId="0" borderId="0" xfId="0" applyFont="1" applyBorder="1" applyAlignment="1">
      <alignment horizontal="center"/>
    </xf>
    <xf numFmtId="298" fontId="244" fillId="125" borderId="16" xfId="1662" applyNumberFormat="1" applyFont="1" applyFill="1" applyBorder="1" applyAlignment="1">
      <alignment horizontal="center"/>
    </xf>
    <xf numFmtId="15" fontId="244" fillId="125" borderId="16" xfId="1662" applyNumberFormat="1" applyFont="1" applyFill="1" applyBorder="1" applyAlignment="1">
      <alignment horizontal="center"/>
    </xf>
    <xf numFmtId="0" fontId="233" fillId="121" borderId="0" xfId="0" applyFont="1" applyFill="1"/>
    <xf numFmtId="293" fontId="234" fillId="0" borderId="0" xfId="1661" applyNumberFormat="1" applyFont="1" applyFill="1" applyBorder="1" applyAlignment="1">
      <alignment horizontal="left"/>
    </xf>
    <xf numFmtId="293" fontId="237" fillId="0" borderId="0" xfId="1661" applyNumberFormat="1" applyFont="1" applyFill="1" applyBorder="1" applyAlignment="1">
      <alignment horizontal="center"/>
    </xf>
    <xf numFmtId="291" fontId="240" fillId="0" borderId="0" xfId="1661" applyNumberFormat="1" applyFont="1" applyFill="1" applyBorder="1" applyAlignment="1">
      <alignment horizontal="center"/>
    </xf>
    <xf numFmtId="0" fontId="257" fillId="0" borderId="69" xfId="0" applyFont="1" applyBorder="1"/>
    <xf numFmtId="0" fontId="258" fillId="0" borderId="69" xfId="0" applyFont="1" applyBorder="1"/>
    <xf numFmtId="296" fontId="259" fillId="0" borderId="69" xfId="0" applyNumberFormat="1" applyFont="1" applyBorder="1" applyAlignment="1">
      <alignment horizontal="center"/>
    </xf>
    <xf numFmtId="297" fontId="259" fillId="0" borderId="69" xfId="0" applyNumberFormat="1" applyFont="1" applyBorder="1" applyAlignment="1">
      <alignment horizontal="center"/>
    </xf>
    <xf numFmtId="0" fontId="259" fillId="0" borderId="69" xfId="0" applyFont="1" applyBorder="1"/>
    <xf numFmtId="0" fontId="260" fillId="126" borderId="0" xfId="0" applyFont="1" applyFill="1"/>
    <xf numFmtId="0" fontId="261" fillId="126" borderId="0" xfId="0" applyFont="1" applyFill="1" applyAlignment="1">
      <alignment horizontal="center"/>
    </xf>
    <xf numFmtId="296" fontId="259" fillId="126" borderId="0" xfId="0" applyNumberFormat="1" applyFont="1" applyFill="1" applyBorder="1" applyAlignment="1">
      <alignment horizontal="center"/>
    </xf>
    <xf numFmtId="293" fontId="262" fillId="126" borderId="0" xfId="1661" applyNumberFormat="1" applyFont="1" applyFill="1" applyBorder="1" applyAlignment="1">
      <alignment horizontal="center"/>
    </xf>
    <xf numFmtId="0" fontId="262" fillId="124" borderId="0" xfId="0" applyFont="1" applyFill="1" applyBorder="1"/>
    <xf numFmtId="0" fontId="263" fillId="0" borderId="0" xfId="0" applyFont="1"/>
    <xf numFmtId="0" fontId="261" fillId="0" borderId="0" xfId="0" applyFont="1" applyAlignment="1">
      <alignment horizontal="center"/>
    </xf>
    <xf numFmtId="296" fontId="259" fillId="0" borderId="0" xfId="0" applyNumberFormat="1" applyFont="1" applyBorder="1" applyAlignment="1">
      <alignment horizontal="center"/>
    </xf>
    <xf numFmtId="291" fontId="264" fillId="0" borderId="0" xfId="1661" applyNumberFormat="1" applyFont="1" applyFill="1" applyBorder="1" applyAlignment="1">
      <alignment horizontal="center"/>
    </xf>
    <xf numFmtId="293" fontId="265" fillId="0" borderId="0" xfId="1661" applyNumberFormat="1" applyFont="1" applyFill="1" applyBorder="1" applyAlignment="1">
      <alignment horizontal="center"/>
    </xf>
    <xf numFmtId="293" fontId="265" fillId="126" borderId="0" xfId="1661" applyNumberFormat="1" applyFont="1" applyFill="1" applyBorder="1" applyAlignment="1">
      <alignment horizontal="center"/>
    </xf>
    <xf numFmtId="0" fontId="263" fillId="0" borderId="23" xfId="0" applyFont="1" applyBorder="1"/>
    <xf numFmtId="0" fontId="261" fillId="0" borderId="23" xfId="0" applyFont="1" applyBorder="1" applyAlignment="1">
      <alignment horizontal="center"/>
    </xf>
    <xf numFmtId="293" fontId="265" fillId="0" borderId="23" xfId="1661" applyNumberFormat="1" applyFont="1" applyFill="1" applyBorder="1" applyAlignment="1">
      <alignment horizontal="center"/>
    </xf>
    <xf numFmtId="0" fontId="262" fillId="124" borderId="23" xfId="0" applyFont="1" applyFill="1" applyBorder="1"/>
    <xf numFmtId="291" fontId="265" fillId="0" borderId="23" xfId="1661" applyNumberFormat="1" applyFont="1" applyFill="1" applyBorder="1" applyAlignment="1">
      <alignment horizontal="center"/>
    </xf>
    <xf numFmtId="0" fontId="262" fillId="126" borderId="0" xfId="0" applyFont="1" applyFill="1" applyBorder="1"/>
    <xf numFmtId="298" fontId="263" fillId="0" borderId="0" xfId="1661" applyNumberFormat="1" applyFont="1" applyFill="1" applyBorder="1" applyAlignment="1">
      <alignment horizontal="center"/>
    </xf>
    <xf numFmtId="293" fontId="262" fillId="0" borderId="0" xfId="1661" applyNumberFormat="1" applyFont="1" applyFill="1" applyBorder="1" applyAlignment="1">
      <alignment horizontal="center"/>
    </xf>
    <xf numFmtId="295" fontId="265" fillId="0" borderId="0" xfId="1661" applyNumberFormat="1" applyFont="1" applyFill="1" applyBorder="1" applyAlignment="1">
      <alignment horizontal="center"/>
    </xf>
    <xf numFmtId="0" fontId="263" fillId="0" borderId="69" xfId="0" applyFont="1" applyBorder="1"/>
    <xf numFmtId="0" fontId="261" fillId="0" borderId="69" xfId="0" applyFont="1" applyBorder="1" applyAlignment="1">
      <alignment horizontal="center"/>
    </xf>
    <xf numFmtId="0" fontId="262" fillId="124" borderId="69" xfId="0" applyFont="1" applyFill="1" applyBorder="1"/>
    <xf numFmtId="295" fontId="265" fillId="0" borderId="69" xfId="1661" applyNumberFormat="1" applyFont="1" applyFill="1" applyBorder="1" applyAlignment="1">
      <alignment horizontal="center"/>
    </xf>
    <xf numFmtId="0" fontId="260" fillId="126" borderId="69" xfId="0" applyFont="1" applyFill="1" applyBorder="1"/>
    <xf numFmtId="0" fontId="266" fillId="126" borderId="69" xfId="0" applyFont="1" applyFill="1" applyBorder="1" applyAlignment="1">
      <alignment horizontal="center"/>
    </xf>
    <xf numFmtId="0" fontId="262" fillId="126" borderId="69" xfId="0" applyFont="1" applyFill="1" applyBorder="1"/>
    <xf numFmtId="293" fontId="267" fillId="126" borderId="69" xfId="1661" applyNumberFormat="1" applyFont="1" applyFill="1" applyBorder="1" applyAlignment="1">
      <alignment horizontal="center"/>
    </xf>
    <xf numFmtId="0" fontId="268" fillId="0" borderId="69" xfId="1655" applyNumberFormat="1" applyFont="1" applyBorder="1"/>
    <xf numFmtId="0" fontId="267" fillId="0" borderId="0" xfId="0" applyFont="1"/>
    <xf numFmtId="293" fontId="267" fillId="0" borderId="0" xfId="0" applyNumberFormat="1" applyFont="1"/>
    <xf numFmtId="0" fontId="265" fillId="0" borderId="0" xfId="1655" applyFont="1"/>
    <xf numFmtId="293" fontId="263" fillId="0" borderId="0" xfId="0" applyNumberFormat="1" applyFont="1"/>
    <xf numFmtId="0" fontId="265" fillId="0" borderId="69" xfId="1655" applyFont="1" applyBorder="1"/>
    <xf numFmtId="0" fontId="264" fillId="0" borderId="69" xfId="1655" applyFont="1" applyBorder="1" applyAlignment="1">
      <alignment horizontal="center"/>
    </xf>
    <xf numFmtId="293" fontId="263" fillId="0" borderId="69" xfId="1655" applyNumberFormat="1" applyFont="1" applyBorder="1"/>
    <xf numFmtId="0" fontId="260" fillId="126" borderId="0" xfId="1655" applyFont="1" applyFill="1" applyBorder="1"/>
    <xf numFmtId="0" fontId="269" fillId="126" borderId="0" xfId="1655" applyFont="1" applyFill="1" applyBorder="1" applyAlignment="1">
      <alignment horizontal="center"/>
    </xf>
    <xf numFmtId="0" fontId="263" fillId="126" borderId="0" xfId="0" applyFont="1" applyFill="1"/>
    <xf numFmtId="293" fontId="262" fillId="126" borderId="0" xfId="1655" applyNumberFormat="1" applyFont="1" applyFill="1" applyBorder="1"/>
    <xf numFmtId="0" fontId="269" fillId="126" borderId="69" xfId="0" applyFont="1" applyFill="1" applyBorder="1" applyAlignment="1">
      <alignment horizontal="center"/>
    </xf>
    <xf numFmtId="299" fontId="262" fillId="126" borderId="69" xfId="0" applyNumberFormat="1" applyFont="1" applyFill="1" applyBorder="1"/>
    <xf numFmtId="299" fontId="234" fillId="0" borderId="0" xfId="1661" applyNumberFormat="1" applyFont="1" applyFill="1" applyBorder="1" applyAlignment="1">
      <alignment horizontal="center"/>
    </xf>
    <xf numFmtId="294" fontId="244" fillId="122" borderId="0" xfId="1662" applyFont="1" applyFill="1" applyBorder="1" applyAlignment="1">
      <alignment horizontal="center"/>
    </xf>
    <xf numFmtId="294" fontId="244" fillId="122" borderId="70" xfId="1662" applyFont="1" applyFill="1" applyBorder="1" applyAlignment="1">
      <alignment horizontal="center"/>
    </xf>
    <xf numFmtId="294" fontId="244" fillId="122" borderId="16" xfId="1662" applyFont="1" applyFill="1" applyBorder="1" applyAlignment="1">
      <alignment horizontal="center"/>
    </xf>
    <xf numFmtId="294" fontId="244" fillId="122" borderId="14" xfId="1662" applyFont="1" applyFill="1" applyBorder="1" applyAlignment="1">
      <alignment horizontal="center"/>
    </xf>
  </cellXfs>
  <cellStyles count="1664">
    <cellStyle name=" Task]_x000d__x000a_TaskName=Scan At_x000d__x000a_TaskID=3_x000d__x000a_WorkstationName=SmarTone_x000d__x000a_LastExecuted=0_x000d__x000a_LastSt" xfId="455" xr:uid="{00000000-0005-0000-0000-000000000000}"/>
    <cellStyle name="_x000a_386grabber=M" xfId="1111" xr:uid="{00000000-0005-0000-0000-000001000000}"/>
    <cellStyle name="%" xfId="2" xr:uid="{00000000-0005-0000-0000-000002000000}"/>
    <cellStyle name="% 1dp" xfId="1662" xr:uid="{00000000-0005-0000-0000-000003000000}"/>
    <cellStyle name="% 2" xfId="456" xr:uid="{00000000-0005-0000-0000-000004000000}"/>
    <cellStyle name="%_Cartel1" xfId="457" xr:uid="{00000000-0005-0000-0000-000005000000}"/>
    <cellStyle name="%_Cartel1_Bdg 2003 - Debts" xfId="458" xr:uid="{00000000-0005-0000-0000-000006000000}"/>
    <cellStyle name="%_Cartel1_Data Book Plan Company brasil - antiga (não usar)" xfId="459" xr:uid="{00000000-0005-0000-0000-000007000000}"/>
    <cellStyle name="%_Cartel1_Data Book Plan Company brasil - antiga (não usar)_Pasta1" xfId="460" xr:uid="{00000000-0005-0000-0000-000008000000}"/>
    <cellStyle name="%_Cartel1_Data Book Plan Mobile (antiga)" xfId="461" xr:uid="{00000000-0005-0000-0000-000009000000}"/>
    <cellStyle name="%_Cartel1_Data Book Plan Mobile (antiga)_1" xfId="462" xr:uid="{00000000-0005-0000-0000-00000A000000}"/>
    <cellStyle name="%_Cartel1_Data Book Plan Mobile (antiga)_Pasta1" xfId="463" xr:uid="{00000000-0005-0000-0000-00000B000000}"/>
    <cellStyle name="%_Cartel1_Data Book Plan Mobile Maxitel EURO" xfId="464" xr:uid="{00000000-0005-0000-0000-00000C000000}"/>
    <cellStyle name="%_Cartel1_Pasta1" xfId="465" xr:uid="{00000000-0005-0000-0000-00000D000000}"/>
    <cellStyle name="%_Cartel1_TIM Maxitel_Plan03_05_Investments_Nov2002_14Nov_Euros" xfId="466" xr:uid="{00000000-0005-0000-0000-00000E000000}"/>
    <cellStyle name="%_Cash Costs" xfId="467" xr:uid="{00000000-0005-0000-0000-00000F000000}"/>
    <cellStyle name="%_Cronograma Deuda CMA_Nov08" xfId="468" xr:uid="{00000000-0005-0000-0000-000010000000}"/>
    <cellStyle name="%_Cuadros paraPresentación de Sindicado de Palmas del Espino (V 05 12 08)}" xfId="469" xr:uid="{00000000-0005-0000-0000-000011000000}"/>
    <cellStyle name="%_Data Book BU IOP_Febbraio2" xfId="470" xr:uid="{00000000-0005-0000-0000-000012000000}"/>
    <cellStyle name="%_Data Book BU IOP_Febbraio3" xfId="471" xr:uid="{00000000-0005-0000-0000-000013000000}"/>
    <cellStyle name="%_Deuda refinanciada" xfId="472" xr:uid="{00000000-0005-0000-0000-000014000000}"/>
    <cellStyle name="%_Effetto cambio_DW" xfId="473" xr:uid="{00000000-0005-0000-0000-000015000000}"/>
    <cellStyle name="%_Effetto cambio_DW_Bdg 2003 - Debts" xfId="474" xr:uid="{00000000-0005-0000-0000-000016000000}"/>
    <cellStyle name="%_Effetto cambio_DW_Data Book Plan Mobile (antiga)" xfId="475" xr:uid="{00000000-0005-0000-0000-000017000000}"/>
    <cellStyle name="%_Effetto cambio_DW_Data Book Plan Mobile (antiga)_1" xfId="476" xr:uid="{00000000-0005-0000-0000-000018000000}"/>
    <cellStyle name="%_Effetto cambio_DW_Data Book Plan Mobile (antiga)_Pasta1" xfId="477" xr:uid="{00000000-0005-0000-0000-000019000000}"/>
    <cellStyle name="%_Effetto cambio_DW_Data Book Plan Mobile Maxitel EURO" xfId="478" xr:uid="{00000000-0005-0000-0000-00001A000000}"/>
    <cellStyle name="%_Effetto cambio_DW_Pasta1" xfId="479" xr:uid="{00000000-0005-0000-0000-00001B000000}"/>
    <cellStyle name="%_Effetto cambio_DW_TIM Maxitel_Plan03_05_Investments_Nov2002_14Nov_Euros" xfId="480" xr:uid="{00000000-0005-0000-0000-00001C000000}"/>
    <cellStyle name="%_FM_CMA_4000TPDs" xfId="481" xr:uid="{00000000-0005-0000-0000-00001D000000}"/>
    <cellStyle name="%_Libro5 (2)" xfId="482" xr:uid="{00000000-0005-0000-0000-00001E000000}"/>
    <cellStyle name="%_Metrics Febbraio11" xfId="483" xr:uid="{00000000-0005-0000-0000-00001F000000}"/>
    <cellStyle name="%_Metrics Febbraio11_Bdg 2003 - Debts" xfId="484" xr:uid="{00000000-0005-0000-0000-000020000000}"/>
    <cellStyle name="%_Metrics Febbraio11_Data Book Plan Mobile (antiga)" xfId="485" xr:uid="{00000000-0005-0000-0000-000021000000}"/>
    <cellStyle name="%_Metrics Febbraio11_Data Book Plan Mobile (antiga)_1" xfId="486" xr:uid="{00000000-0005-0000-0000-000022000000}"/>
    <cellStyle name="%_Metrics Febbraio11_Data Book Plan Mobile (antiga)_Pasta1" xfId="487" xr:uid="{00000000-0005-0000-0000-000023000000}"/>
    <cellStyle name="%_Metrics Febbraio11_Data Book Plan Mobile Maxitel EURO" xfId="488" xr:uid="{00000000-0005-0000-0000-000024000000}"/>
    <cellStyle name="%_Metrics Febbraio11_Pasta1" xfId="489" xr:uid="{00000000-0005-0000-0000-000025000000}"/>
    <cellStyle name="%_Metrics Febbraio11_TIM Maxitel_Plan03_05_Investments_Nov2002_14Nov_Euros" xfId="490" xr:uid="{00000000-0005-0000-0000-000026000000}"/>
    <cellStyle name="%_Modelo Bonos Grupo Palmas 22 01 2007" xfId="491" xr:uid="{00000000-0005-0000-0000-000027000000}"/>
    <cellStyle name="%_Modelo Bonos Grupo Palmas 22 01 2007 2" xfId="492" xr:uid="{00000000-0005-0000-0000-000028000000}"/>
    <cellStyle name="%_Modelo Bonos Grupo Palmas 22 01 2007_Cuadros paraPresentación de Sindicado de Palmas del Espino (V 05 12 08)}" xfId="493" xr:uid="{00000000-0005-0000-0000-000029000000}"/>
    <cellStyle name="%_Traffic BU IOP def valori" xfId="494" xr:uid="{00000000-0005-0000-0000-00002A000000}"/>
    <cellStyle name="(4) STM-1 (LECT)_x000d__x000a_PL-4579-M-039-99_x000d__x000a_FALTA APE" xfId="495" xr:uid="{00000000-0005-0000-0000-00002B000000}"/>
    <cellStyle name="(Lefting)" xfId="496" xr:uid="{00000000-0005-0000-0000-00002C000000}"/>
    <cellStyle name="_Antofagasta Inputs - Nov.09" xfId="1112" xr:uid="{00000000-0005-0000-0000-00002D000000}"/>
    <cellStyle name="_BAD DEBT" xfId="497" xr:uid="{00000000-0005-0000-0000-00002E000000}"/>
    <cellStyle name="_Banco Falabella Versión Preliminar" xfId="498" xr:uid="{00000000-0005-0000-0000-00002F000000}"/>
    <cellStyle name="_BG" xfId="499" xr:uid="{00000000-0005-0000-0000-000030000000}"/>
    <cellStyle name="_CAPEX" xfId="500" xr:uid="{00000000-0005-0000-0000-000031000000}"/>
    <cellStyle name="_Capex Comercial EB" xfId="501" xr:uid="{00000000-0005-0000-0000-000032000000}"/>
    <cellStyle name="_Capex Red 2006 Rev2 11Oct05" xfId="502" xr:uid="{00000000-0005-0000-0000-000033000000}"/>
    <cellStyle name="_Capex Red UMTS_27 09 07 ff" xfId="503" xr:uid="{00000000-0005-0000-0000-000034000000}"/>
    <cellStyle name="_CONTROL DE FACTURACION A OCT 06" xfId="504" xr:uid="{00000000-0005-0000-0000-000035000000}"/>
    <cellStyle name="_CXC ANTIGUEDAD X VENCIMIENTO OCT" xfId="505" xr:uid="{00000000-0005-0000-0000-000036000000}"/>
    <cellStyle name="_Detalle" xfId="506" xr:uid="{00000000-0005-0000-0000-000037000000}"/>
    <cellStyle name="_DETALLE PROVISION CAPEX 2006 (3)" xfId="507" xr:uid="{00000000-0005-0000-0000-000038000000}"/>
    <cellStyle name="_DETALLE PROVISION CAPEX 2006_EN" xfId="508" xr:uid="{00000000-0005-0000-0000-000039000000}"/>
    <cellStyle name="_Detalle Yside" xfId="509" xr:uid="{00000000-0005-0000-0000-00003A000000}"/>
    <cellStyle name="_Diciembre2004-periodo 13FINAL" xfId="510" xr:uid="{00000000-0005-0000-0000-00003B000000}"/>
    <cellStyle name="_FCL 2005" xfId="511" xr:uid="{00000000-0005-0000-0000-00003C000000}"/>
    <cellStyle name="_FCST_111YSIDE" xfId="512" xr:uid="{00000000-0005-0000-0000-00003D000000}"/>
    <cellStyle name="_Final Investor FM Inputs BC P10 P90 Dec 29th 2009" xfId="1113" xr:uid="{00000000-0005-0000-0000-00003E000000}"/>
    <cellStyle name="_FM Inputs BC P10  P90 Nov 18th 2009" xfId="1114" xr:uid="{00000000-0005-0000-0000-00003F000000}"/>
    <cellStyle name="_FM Inputs BC, P10, P90 &amp; IMG Nov 25th, 2009" xfId="1115" xr:uid="{00000000-0005-0000-0000-000040000000}"/>
    <cellStyle name="_FM Inputs BC, P10, P90, IMG &amp; 2% Growth Nov 26th, 2009" xfId="1116" xr:uid="{00000000-0005-0000-0000-000041000000}"/>
    <cellStyle name="_FM Inputs BC, P10, P90, IMG &amp; 2,5% Growth Nov 26th, 2009" xfId="1117" xr:uid="{00000000-0005-0000-0000-000042000000}"/>
    <cellStyle name="_FM Inputs BC, P10, P90, IMG, 2,5% &amp; 2%  Growth Dec 5th, 2009  FINAL wo pictures" xfId="1118" xr:uid="{00000000-0005-0000-0000-000043000000}"/>
    <cellStyle name="_FM Inputs Oct 8th 2009" xfId="1119" xr:uid="{00000000-0005-0000-0000-000044000000}"/>
    <cellStyle name="_FM Inputs Rev 4 Nov 17th, 2009" xfId="1120" xr:uid="{00000000-0005-0000-0000-000045000000}"/>
    <cellStyle name="_FORMATO EAP OTHER INFO TRIMESTRAL ABR2004" xfId="513" xr:uid="{00000000-0005-0000-0000-000046000000}"/>
    <cellStyle name="_FORMATO EAP OTHER INFO TRIMESTRAL FEB2004" xfId="514" xr:uid="{00000000-0005-0000-0000-000047000000}"/>
    <cellStyle name="_FORMATO EAP OTHER INFO TRIMESTRAL MAR2004" xfId="515" xr:uid="{00000000-0005-0000-0000-000048000000}"/>
    <cellStyle name="_G&amp;P" xfId="516" xr:uid="{00000000-0005-0000-0000-000049000000}"/>
    <cellStyle name="_gastos e ingresos Enero 2005 nueva" xfId="517" xr:uid="{00000000-0005-0000-0000-00004A000000}"/>
    <cellStyle name="_GP 2005 MENSUALIZADO YTD SET05 finalv3" xfId="518" xr:uid="{00000000-0005-0000-0000-00004B000000}"/>
    <cellStyle name="_GP 2006" xfId="519" xr:uid="{00000000-0005-0000-0000-00004C000000}"/>
    <cellStyle name="_Hoja1" xfId="520" xr:uid="{00000000-0005-0000-0000-00004D000000}"/>
    <cellStyle name="_Indicadores Red - Septiembre 2005 " xfId="521" xr:uid="{00000000-0005-0000-0000-00004E000000}"/>
    <cellStyle name="_Info para value partners 2" xfId="522" xr:uid="{00000000-0005-0000-0000-00004F000000}"/>
    <cellStyle name="_info ventas" xfId="523" xr:uid="{00000000-0005-0000-0000-000050000000}"/>
    <cellStyle name="_Información a Mayo 2007 (2)" xfId="524" xr:uid="{00000000-0005-0000-0000-000051000000}"/>
    <cellStyle name="_Ingresos y Costo de Venta - Noviembre Final" xfId="525" xr:uid="{00000000-0005-0000-0000-000052000000}"/>
    <cellStyle name="_Investor FM Inputs BC P10 P90 IMG Dec 21th 2009" xfId="1121" xr:uid="{00000000-0005-0000-0000-000053000000}"/>
    <cellStyle name="_Kpi Roaming" xfId="526" xr:uid="{00000000-0005-0000-0000-000054000000}"/>
    <cellStyle name="_Kpi Roaming - Ago07" xfId="527" xr:uid="{00000000-0005-0000-0000-000055000000}"/>
    <cellStyle name="_Kpi Roaming - Ago07 (2)" xfId="528" xr:uid="{00000000-0005-0000-0000-000056000000}"/>
    <cellStyle name="_Libro1" xfId="529" xr:uid="{00000000-0005-0000-0000-000057000000}"/>
    <cellStyle name="_Libro1_1" xfId="530" xr:uid="{00000000-0005-0000-0000-000058000000}"/>
    <cellStyle name="_Libro2" xfId="531" xr:uid="{00000000-0005-0000-0000-000059000000}"/>
    <cellStyle name="_Libro21" xfId="532" xr:uid="{00000000-0005-0000-0000-00005A000000}"/>
    <cellStyle name="_Libro22" xfId="533" xr:uid="{00000000-0005-0000-0000-00005B000000}"/>
    <cellStyle name="_Libro4" xfId="534" xr:uid="{00000000-0005-0000-0000-00005C000000}"/>
    <cellStyle name="_Libro5 (2)" xfId="535" xr:uid="{00000000-0005-0000-0000-00005D000000}"/>
    <cellStyle name="_Libro6" xfId="536" xr:uid="{00000000-0005-0000-0000-00005E000000}"/>
    <cellStyle name="_Mantenimiento Mayor 17 Dic 2009" xfId="1122" xr:uid="{00000000-0005-0000-0000-00005F000000}"/>
    <cellStyle name="_MARKET - Setiembre 05" xfId="537" xr:uid="{00000000-0005-0000-0000-000060000000}"/>
    <cellStyle name="_MARKET - Setiembre 05_Libro1" xfId="538" xr:uid="{00000000-0005-0000-0000-000061000000}"/>
    <cellStyle name="_MARKET - Setiembre 05_Tipo de Cambio (2)" xfId="539" xr:uid="{00000000-0005-0000-0000-000062000000}"/>
    <cellStyle name="_Matriz Hajj-2005 (Soles)" xfId="540" xr:uid="{00000000-0005-0000-0000-000063000000}"/>
    <cellStyle name="_Modelo AIB valorización" xfId="541" xr:uid="{00000000-0005-0000-0000-000064000000}"/>
    <cellStyle name="_Modelo LQS (V. Leasing-7)" xfId="542" xr:uid="{00000000-0005-0000-0000-000065000000}"/>
    <cellStyle name="_Modelo LQS (V. Mediano Plazo-2) " xfId="543" xr:uid="{00000000-0005-0000-0000-000066000000}"/>
    <cellStyle name="_Modelo_AIB (10 Ago)" xfId="544" xr:uid="{00000000-0005-0000-0000-000067000000}"/>
    <cellStyle name="_Modelo_Fcst75" xfId="545" xr:uid="{00000000-0005-0000-0000-000068000000}"/>
    <cellStyle name="_Multiplos 2 (Regresion al ROE) oct-08" xfId="1123" xr:uid="{00000000-0005-0000-0000-000069000000}"/>
    <cellStyle name="_OPEX 2005" xfId="546" xr:uid="{00000000-0005-0000-0000-00006A000000}"/>
    <cellStyle name="_P&amp;L 2005 NUEVA ESTRUCTvfinal" xfId="547" xr:uid="{00000000-0005-0000-0000-00006B000000}"/>
    <cellStyle name="_P&amp;L Comercial 2005" xfId="548" xr:uid="{00000000-0005-0000-0000-00006C000000}"/>
    <cellStyle name="_P&amp;L Enero-Febrero 2005 nuevo formato" xfId="549" xr:uid="{00000000-0005-0000-0000-00006D000000}"/>
    <cellStyle name="_panel de gestion Abril 2006 vf" xfId="1124" xr:uid="{00000000-0005-0000-0000-00006E000000}"/>
    <cellStyle name="_PL 2005 enero - marzol" xfId="550" xr:uid="{00000000-0005-0000-0000-00006F000000}"/>
    <cellStyle name="_PL 2005 NUEVA ESTRUCTvfinal" xfId="551" xr:uid="{00000000-0005-0000-0000-000070000000}"/>
    <cellStyle name="_PL abril 2005" xfId="552" xr:uid="{00000000-0005-0000-0000-000071000000}"/>
    <cellStyle name="_PL Junio 2005" xfId="553" xr:uid="{00000000-0005-0000-0000-000072000000}"/>
    <cellStyle name="_PL Mayo 2005" xfId="554" xr:uid="{00000000-0005-0000-0000-000073000000}"/>
    <cellStyle name="_PL,Market,Traffic" xfId="555" xr:uid="{00000000-0005-0000-0000-000074000000}"/>
    <cellStyle name="_Provisiones de RED a julio 2007_EN" xfId="556" xr:uid="{00000000-0005-0000-0000-000075000000}"/>
    <cellStyle name="_Proyeccion Altas" xfId="557" xr:uid="{00000000-0005-0000-0000-000076000000}"/>
    <cellStyle name="_Proyeccion Comisiones" xfId="558" xr:uid="{00000000-0005-0000-0000-000077000000}"/>
    <cellStyle name="_Proyecciones 2008" xfId="559" xr:uid="{00000000-0005-0000-0000-000078000000}"/>
    <cellStyle name="_Proyecciones y ratios 2008-ene-25" xfId="560" xr:uid="{00000000-0005-0000-0000-000079000000}"/>
    <cellStyle name="_Puntos de Venta" xfId="561" xr:uid="{00000000-0005-0000-0000-00007A000000}"/>
    <cellStyle name="_REAL VS PRESUPUESTO GP 2006" xfId="562" xr:uid="{00000000-0005-0000-0000-00007B000000}"/>
    <cellStyle name="_Recarga ene-ago 2005" xfId="563" xr:uid="{00000000-0005-0000-0000-00007C000000}"/>
    <cellStyle name="_Red" xfId="564" xr:uid="{00000000-0005-0000-0000-00007D000000}"/>
    <cellStyle name="_Reporte de Comisiones y penalidades-ENE - ABRIL 08" xfId="565" xr:uid="{00000000-0005-0000-0000-00007E000000}"/>
    <cellStyle name="_Resumen" xfId="566" xr:uid="{00000000-0005-0000-0000-00007F000000}"/>
    <cellStyle name="_Revisión Capex Red Rev 24AGO06 (12)" xfId="567" xr:uid="{00000000-0005-0000-0000-000080000000}"/>
    <cellStyle name="_Sell in abril" xfId="568" xr:uid="{00000000-0005-0000-0000-000081000000}"/>
    <cellStyle name="_Sell in marzo" xfId="569" xr:uid="{00000000-0005-0000-0000-000082000000}"/>
    <cellStyle name="_Subsidio sell in enero" xfId="570" xr:uid="{00000000-0005-0000-0000-000083000000}"/>
    <cellStyle name="_Subsidio sell in febrero TODO" xfId="571" xr:uid="{00000000-0005-0000-0000-000084000000}"/>
    <cellStyle name="_Tipo de Cambio (2)" xfId="572" xr:uid="{00000000-0005-0000-0000-000085000000}"/>
    <cellStyle name="_Voucher Nokia Vs Aplicacion 07" xfId="573" xr:uid="{00000000-0005-0000-0000-000086000000}"/>
    <cellStyle name="£ BP" xfId="574" xr:uid="{00000000-0005-0000-0000-000087000000}"/>
    <cellStyle name="_x0004_¥" xfId="3" xr:uid="{00000000-0005-0000-0000-000088000000}"/>
    <cellStyle name="¥ JY" xfId="575" xr:uid="{00000000-0005-0000-0000-000089000000}"/>
    <cellStyle name="_x0004_¥_Peru LNG Updated Model 06.18.09 (BCP v1)" xfId="576" xr:uid="{00000000-0005-0000-0000-00008A000000}"/>
    <cellStyle name="=C:\WINNT35\SYSTEM32\COMMAND.COM 3" xfId="1658" xr:uid="{00000000-0005-0000-0000-00008B000000}"/>
    <cellStyle name="0000" xfId="577" xr:uid="{00000000-0005-0000-0000-00008C000000}"/>
    <cellStyle name="000000" xfId="578" xr:uid="{00000000-0005-0000-0000-00008D000000}"/>
    <cellStyle name="0752-93035" xfId="104" xr:uid="{00000000-0005-0000-0000-00008E000000}"/>
    <cellStyle name="0752-93035 2" xfId="195" xr:uid="{00000000-0005-0000-0000-00008F000000}"/>
    <cellStyle name="0752-93035 2 2" xfId="194" xr:uid="{00000000-0005-0000-0000-000090000000}"/>
    <cellStyle name="0752-93035 3" xfId="193" xr:uid="{00000000-0005-0000-0000-000091000000}"/>
    <cellStyle name="0dp" xfId="579" xr:uid="{00000000-0005-0000-0000-000092000000}"/>
    <cellStyle name="20% - Accent1 2" xfId="192" xr:uid="{00000000-0005-0000-0000-000093000000}"/>
    <cellStyle name="20% - Accent1 2 2" xfId="1125" xr:uid="{00000000-0005-0000-0000-000094000000}"/>
    <cellStyle name="20% - Accent1 3" xfId="1126" xr:uid="{00000000-0005-0000-0000-000095000000}"/>
    <cellStyle name="20% - Accent1 4" xfId="1127" xr:uid="{00000000-0005-0000-0000-000096000000}"/>
    <cellStyle name="20% - Accent2 2" xfId="191" xr:uid="{00000000-0005-0000-0000-000097000000}"/>
    <cellStyle name="20% - Accent2 2 2" xfId="1128" xr:uid="{00000000-0005-0000-0000-000098000000}"/>
    <cellStyle name="20% - Accent2 3" xfId="1129" xr:uid="{00000000-0005-0000-0000-000099000000}"/>
    <cellStyle name="20% - Accent2 4" xfId="1130" xr:uid="{00000000-0005-0000-0000-00009A000000}"/>
    <cellStyle name="20% - Accent3 2" xfId="190" xr:uid="{00000000-0005-0000-0000-00009B000000}"/>
    <cellStyle name="20% - Accent3 2 2" xfId="1131" xr:uid="{00000000-0005-0000-0000-00009C000000}"/>
    <cellStyle name="20% - Accent3 3" xfId="1132" xr:uid="{00000000-0005-0000-0000-00009D000000}"/>
    <cellStyle name="20% - Accent3 4" xfId="1133" xr:uid="{00000000-0005-0000-0000-00009E000000}"/>
    <cellStyle name="20% - Accent4 2" xfId="189" xr:uid="{00000000-0005-0000-0000-00009F000000}"/>
    <cellStyle name="20% - Accent4 2 2" xfId="1134" xr:uid="{00000000-0005-0000-0000-0000A0000000}"/>
    <cellStyle name="20% - Accent4 3" xfId="1135" xr:uid="{00000000-0005-0000-0000-0000A1000000}"/>
    <cellStyle name="20% - Accent4 4" xfId="1136" xr:uid="{00000000-0005-0000-0000-0000A2000000}"/>
    <cellStyle name="20% - Accent5 2" xfId="188" xr:uid="{00000000-0005-0000-0000-0000A3000000}"/>
    <cellStyle name="20% - Accent5 2 2" xfId="1137" xr:uid="{00000000-0005-0000-0000-0000A4000000}"/>
    <cellStyle name="20% - Accent5 3" xfId="1138" xr:uid="{00000000-0005-0000-0000-0000A5000000}"/>
    <cellStyle name="20% - Accent5 4" xfId="1139" xr:uid="{00000000-0005-0000-0000-0000A6000000}"/>
    <cellStyle name="20% - Accent6 2" xfId="187" xr:uid="{00000000-0005-0000-0000-0000A7000000}"/>
    <cellStyle name="20% - Accent6 2 2" xfId="1140" xr:uid="{00000000-0005-0000-0000-0000A8000000}"/>
    <cellStyle name="20% - Accent6 3" xfId="1141" xr:uid="{00000000-0005-0000-0000-0000A9000000}"/>
    <cellStyle name="20% - Accent6 4" xfId="1142" xr:uid="{00000000-0005-0000-0000-0000AA000000}"/>
    <cellStyle name="20% - Énfasis1" xfId="186" xr:uid="{00000000-0005-0000-0000-0000AB000000}"/>
    <cellStyle name="20% - Énfasis1 2" xfId="213" xr:uid="{00000000-0005-0000-0000-0000AC000000}"/>
    <cellStyle name="20% - Énfasis1 2 2" xfId="1143" xr:uid="{00000000-0005-0000-0000-0000AD000000}"/>
    <cellStyle name="20% - Énfasis1 2 2 2" xfId="1144" xr:uid="{00000000-0005-0000-0000-0000AE000000}"/>
    <cellStyle name="20% - Énfasis1 2 3" xfId="1145" xr:uid="{00000000-0005-0000-0000-0000AF000000}"/>
    <cellStyle name="20% - Énfasis1 2 3 2" xfId="1146" xr:uid="{00000000-0005-0000-0000-0000B0000000}"/>
    <cellStyle name="20% - Énfasis1 2 4" xfId="1147" xr:uid="{00000000-0005-0000-0000-0000B1000000}"/>
    <cellStyle name="20% - Énfasis1 3" xfId="1148" xr:uid="{00000000-0005-0000-0000-0000B2000000}"/>
    <cellStyle name="20% - Énfasis1 3 2" xfId="1149" xr:uid="{00000000-0005-0000-0000-0000B3000000}"/>
    <cellStyle name="20% - Énfasis1 4" xfId="1150" xr:uid="{00000000-0005-0000-0000-0000B4000000}"/>
    <cellStyle name="20% - Énfasis1 4 2" xfId="1151" xr:uid="{00000000-0005-0000-0000-0000B5000000}"/>
    <cellStyle name="20% - Énfasis2" xfId="185" xr:uid="{00000000-0005-0000-0000-0000B6000000}"/>
    <cellStyle name="20% - Énfasis2 2" xfId="214" xr:uid="{00000000-0005-0000-0000-0000B7000000}"/>
    <cellStyle name="20% - Énfasis2 2 2" xfId="1152" xr:uid="{00000000-0005-0000-0000-0000B8000000}"/>
    <cellStyle name="20% - Énfasis2 2 2 2" xfId="1153" xr:uid="{00000000-0005-0000-0000-0000B9000000}"/>
    <cellStyle name="20% - Énfasis2 2 3" xfId="1154" xr:uid="{00000000-0005-0000-0000-0000BA000000}"/>
    <cellStyle name="20% - Énfasis2 2 3 2" xfId="1155" xr:uid="{00000000-0005-0000-0000-0000BB000000}"/>
    <cellStyle name="20% - Énfasis2 2 4" xfId="1156" xr:uid="{00000000-0005-0000-0000-0000BC000000}"/>
    <cellStyle name="20% - Énfasis2 3" xfId="1157" xr:uid="{00000000-0005-0000-0000-0000BD000000}"/>
    <cellStyle name="20% - Énfasis2 3 2" xfId="1158" xr:uid="{00000000-0005-0000-0000-0000BE000000}"/>
    <cellStyle name="20% - Énfasis2 4" xfId="1159" xr:uid="{00000000-0005-0000-0000-0000BF000000}"/>
    <cellStyle name="20% - Énfasis2 4 2" xfId="1160" xr:uid="{00000000-0005-0000-0000-0000C0000000}"/>
    <cellStyle name="20% - Énfasis3" xfId="184" xr:uid="{00000000-0005-0000-0000-0000C1000000}"/>
    <cellStyle name="20% - Énfasis3 2" xfId="215" xr:uid="{00000000-0005-0000-0000-0000C2000000}"/>
    <cellStyle name="20% - Énfasis3 2 2" xfId="1161" xr:uid="{00000000-0005-0000-0000-0000C3000000}"/>
    <cellStyle name="20% - Énfasis3 2 2 2" xfId="1162" xr:uid="{00000000-0005-0000-0000-0000C4000000}"/>
    <cellStyle name="20% - Énfasis3 2 3" xfId="1163" xr:uid="{00000000-0005-0000-0000-0000C5000000}"/>
    <cellStyle name="20% - Énfasis3 2 3 2" xfId="1164" xr:uid="{00000000-0005-0000-0000-0000C6000000}"/>
    <cellStyle name="20% - Énfasis3 2 4" xfId="1165" xr:uid="{00000000-0005-0000-0000-0000C7000000}"/>
    <cellStyle name="20% - Énfasis3 3" xfId="1166" xr:uid="{00000000-0005-0000-0000-0000C8000000}"/>
    <cellStyle name="20% - Énfasis3 3 2" xfId="1167" xr:uid="{00000000-0005-0000-0000-0000C9000000}"/>
    <cellStyle name="20% - Énfasis3 4" xfId="1168" xr:uid="{00000000-0005-0000-0000-0000CA000000}"/>
    <cellStyle name="20% - Énfasis3 4 2" xfId="1169" xr:uid="{00000000-0005-0000-0000-0000CB000000}"/>
    <cellStyle name="20% - Énfasis4" xfId="183" xr:uid="{00000000-0005-0000-0000-0000CC000000}"/>
    <cellStyle name="20% - Énfasis4 2" xfId="1170" xr:uid="{00000000-0005-0000-0000-0000CD000000}"/>
    <cellStyle name="20% - Énfasis4 2 2" xfId="1171" xr:uid="{00000000-0005-0000-0000-0000CE000000}"/>
    <cellStyle name="20% - Énfasis4 2 2 2" xfId="1172" xr:uid="{00000000-0005-0000-0000-0000CF000000}"/>
    <cellStyle name="20% - Énfasis4 2 3" xfId="1173" xr:uid="{00000000-0005-0000-0000-0000D0000000}"/>
    <cellStyle name="20% - Énfasis4 2 3 2" xfId="1174" xr:uid="{00000000-0005-0000-0000-0000D1000000}"/>
    <cellStyle name="20% - Énfasis4 2 4" xfId="1175" xr:uid="{00000000-0005-0000-0000-0000D2000000}"/>
    <cellStyle name="20% - Énfasis4 3" xfId="1176" xr:uid="{00000000-0005-0000-0000-0000D3000000}"/>
    <cellStyle name="20% - Énfasis4 3 2" xfId="1177" xr:uid="{00000000-0005-0000-0000-0000D4000000}"/>
    <cellStyle name="20% - Énfasis4 4" xfId="1178" xr:uid="{00000000-0005-0000-0000-0000D5000000}"/>
    <cellStyle name="20% - Énfasis4 4 2" xfId="1179" xr:uid="{00000000-0005-0000-0000-0000D6000000}"/>
    <cellStyle name="20% - Énfasis5" xfId="181" xr:uid="{00000000-0005-0000-0000-0000D7000000}"/>
    <cellStyle name="20% - Énfasis5 2" xfId="1180" xr:uid="{00000000-0005-0000-0000-0000D8000000}"/>
    <cellStyle name="20% - Énfasis5 2 2" xfId="1181" xr:uid="{00000000-0005-0000-0000-0000D9000000}"/>
    <cellStyle name="20% - Énfasis5 2 2 2" xfId="1182" xr:uid="{00000000-0005-0000-0000-0000DA000000}"/>
    <cellStyle name="20% - Énfasis5 2 3" xfId="1183" xr:uid="{00000000-0005-0000-0000-0000DB000000}"/>
    <cellStyle name="20% - Énfasis5 2 3 2" xfId="1184" xr:uid="{00000000-0005-0000-0000-0000DC000000}"/>
    <cellStyle name="20% - Énfasis5 2 4" xfId="1185" xr:uid="{00000000-0005-0000-0000-0000DD000000}"/>
    <cellStyle name="20% - Énfasis5 3" xfId="1186" xr:uid="{00000000-0005-0000-0000-0000DE000000}"/>
    <cellStyle name="20% - Énfasis5 3 2" xfId="1187" xr:uid="{00000000-0005-0000-0000-0000DF000000}"/>
    <cellStyle name="20% - Énfasis5 4" xfId="1188" xr:uid="{00000000-0005-0000-0000-0000E0000000}"/>
    <cellStyle name="20% - Énfasis5 4 2" xfId="1189" xr:uid="{00000000-0005-0000-0000-0000E1000000}"/>
    <cellStyle name="20% - Énfasis6" xfId="180" xr:uid="{00000000-0005-0000-0000-0000E2000000}"/>
    <cellStyle name="20% - Énfasis6 2" xfId="1190" xr:uid="{00000000-0005-0000-0000-0000E3000000}"/>
    <cellStyle name="20% - Énfasis6 2 2" xfId="1191" xr:uid="{00000000-0005-0000-0000-0000E4000000}"/>
    <cellStyle name="20% - Énfasis6 2 2 2" xfId="1192" xr:uid="{00000000-0005-0000-0000-0000E5000000}"/>
    <cellStyle name="20% - Énfasis6 2 3" xfId="1193" xr:uid="{00000000-0005-0000-0000-0000E6000000}"/>
    <cellStyle name="20% - Énfasis6 2 3 2" xfId="1194" xr:uid="{00000000-0005-0000-0000-0000E7000000}"/>
    <cellStyle name="20% - Énfasis6 2 4" xfId="1195" xr:uid="{00000000-0005-0000-0000-0000E8000000}"/>
    <cellStyle name="20% - Énfasis6 3" xfId="1196" xr:uid="{00000000-0005-0000-0000-0000E9000000}"/>
    <cellStyle name="20% - Énfasis6 3 2" xfId="1197" xr:uid="{00000000-0005-0000-0000-0000EA000000}"/>
    <cellStyle name="20% - Énfasis6 4" xfId="1198" xr:uid="{00000000-0005-0000-0000-0000EB000000}"/>
    <cellStyle name="20% - Énfasis6 4 2" xfId="1199" xr:uid="{00000000-0005-0000-0000-0000EC000000}"/>
    <cellStyle name="40% - Accent1 2" xfId="179" xr:uid="{00000000-0005-0000-0000-0000ED000000}"/>
    <cellStyle name="40% - Accent1 2 2" xfId="1200" xr:uid="{00000000-0005-0000-0000-0000EE000000}"/>
    <cellStyle name="40% - Accent1 3" xfId="1201" xr:uid="{00000000-0005-0000-0000-0000EF000000}"/>
    <cellStyle name="40% - Accent1 4" xfId="1202" xr:uid="{00000000-0005-0000-0000-0000F0000000}"/>
    <cellStyle name="40% - Accent2 2" xfId="178" xr:uid="{00000000-0005-0000-0000-0000F1000000}"/>
    <cellStyle name="40% - Accent2 2 2" xfId="1203" xr:uid="{00000000-0005-0000-0000-0000F2000000}"/>
    <cellStyle name="40% - Accent2 3" xfId="1204" xr:uid="{00000000-0005-0000-0000-0000F3000000}"/>
    <cellStyle name="40% - Accent2 4" xfId="1205" xr:uid="{00000000-0005-0000-0000-0000F4000000}"/>
    <cellStyle name="40% - Accent3 2" xfId="177" xr:uid="{00000000-0005-0000-0000-0000F5000000}"/>
    <cellStyle name="40% - Accent3 2 2" xfId="1206" xr:uid="{00000000-0005-0000-0000-0000F6000000}"/>
    <cellStyle name="40% - Accent3 3" xfId="1207" xr:uid="{00000000-0005-0000-0000-0000F7000000}"/>
    <cellStyle name="40% - Accent3 4" xfId="1208" xr:uid="{00000000-0005-0000-0000-0000F8000000}"/>
    <cellStyle name="40% - Accent4 2" xfId="176" xr:uid="{00000000-0005-0000-0000-0000F9000000}"/>
    <cellStyle name="40% - Accent4 2 2" xfId="1209" xr:uid="{00000000-0005-0000-0000-0000FA000000}"/>
    <cellStyle name="40% - Accent4 3" xfId="1210" xr:uid="{00000000-0005-0000-0000-0000FB000000}"/>
    <cellStyle name="40% - Accent4 4" xfId="1211" xr:uid="{00000000-0005-0000-0000-0000FC000000}"/>
    <cellStyle name="40% - Accent5 2" xfId="175" xr:uid="{00000000-0005-0000-0000-0000FD000000}"/>
    <cellStyle name="40% - Accent5 2 2" xfId="1212" xr:uid="{00000000-0005-0000-0000-0000FE000000}"/>
    <cellStyle name="40% - Accent5 3" xfId="1213" xr:uid="{00000000-0005-0000-0000-0000FF000000}"/>
    <cellStyle name="40% - Accent5 4" xfId="1214" xr:uid="{00000000-0005-0000-0000-000000010000}"/>
    <cellStyle name="40% - Accent6 2" xfId="174" xr:uid="{00000000-0005-0000-0000-000001010000}"/>
    <cellStyle name="40% - Accent6 2 2" xfId="1215" xr:uid="{00000000-0005-0000-0000-000002010000}"/>
    <cellStyle name="40% - Accent6 3" xfId="1216" xr:uid="{00000000-0005-0000-0000-000003010000}"/>
    <cellStyle name="40% - Accent6 4" xfId="1217" xr:uid="{00000000-0005-0000-0000-000004010000}"/>
    <cellStyle name="40% - Énfasis1" xfId="173" xr:uid="{00000000-0005-0000-0000-000005010000}"/>
    <cellStyle name="40% - Énfasis1 2" xfId="216" xr:uid="{00000000-0005-0000-0000-000006010000}"/>
    <cellStyle name="40% - Énfasis1 2 2" xfId="1218" xr:uid="{00000000-0005-0000-0000-000007010000}"/>
    <cellStyle name="40% - Énfasis1 2 2 2" xfId="1219" xr:uid="{00000000-0005-0000-0000-000008010000}"/>
    <cellStyle name="40% - Énfasis1 2 3" xfId="1220" xr:uid="{00000000-0005-0000-0000-000009010000}"/>
    <cellStyle name="40% - Énfasis1 2 3 2" xfId="1221" xr:uid="{00000000-0005-0000-0000-00000A010000}"/>
    <cellStyle name="40% - Énfasis1 2 4" xfId="1222" xr:uid="{00000000-0005-0000-0000-00000B010000}"/>
    <cellStyle name="40% - Énfasis1 3" xfId="1223" xr:uid="{00000000-0005-0000-0000-00000C010000}"/>
    <cellStyle name="40% - Énfasis1 3 2" xfId="1224" xr:uid="{00000000-0005-0000-0000-00000D010000}"/>
    <cellStyle name="40% - Énfasis1 4" xfId="1225" xr:uid="{00000000-0005-0000-0000-00000E010000}"/>
    <cellStyle name="40% - Énfasis1 4 2" xfId="1226" xr:uid="{00000000-0005-0000-0000-00000F010000}"/>
    <cellStyle name="40% - Énfasis2" xfId="197" xr:uid="{00000000-0005-0000-0000-000010010000}"/>
    <cellStyle name="40% - Énfasis2 2" xfId="1227" xr:uid="{00000000-0005-0000-0000-000011010000}"/>
    <cellStyle name="40% - Énfasis2 2 2" xfId="1228" xr:uid="{00000000-0005-0000-0000-000012010000}"/>
    <cellStyle name="40% - Énfasis2 2 2 2" xfId="1229" xr:uid="{00000000-0005-0000-0000-000013010000}"/>
    <cellStyle name="40% - Énfasis2 2 3" xfId="1230" xr:uid="{00000000-0005-0000-0000-000014010000}"/>
    <cellStyle name="40% - Énfasis2 2 3 2" xfId="1231" xr:uid="{00000000-0005-0000-0000-000015010000}"/>
    <cellStyle name="40% - Énfasis2 2 4" xfId="1232" xr:uid="{00000000-0005-0000-0000-000016010000}"/>
    <cellStyle name="40% - Énfasis2 3" xfId="1233" xr:uid="{00000000-0005-0000-0000-000017010000}"/>
    <cellStyle name="40% - Énfasis2 3 2" xfId="1234" xr:uid="{00000000-0005-0000-0000-000018010000}"/>
    <cellStyle name="40% - Énfasis2 4" xfId="1235" xr:uid="{00000000-0005-0000-0000-000019010000}"/>
    <cellStyle name="40% - Énfasis2 4 2" xfId="1236" xr:uid="{00000000-0005-0000-0000-00001A010000}"/>
    <cellStyle name="40% - Énfasis3" xfId="172" xr:uid="{00000000-0005-0000-0000-00001B010000}"/>
    <cellStyle name="40% - Énfasis3 2" xfId="217" xr:uid="{00000000-0005-0000-0000-00001C010000}"/>
    <cellStyle name="40% - Énfasis3 2 2" xfId="1237" xr:uid="{00000000-0005-0000-0000-00001D010000}"/>
    <cellStyle name="40% - Énfasis3 2 2 2" xfId="1238" xr:uid="{00000000-0005-0000-0000-00001E010000}"/>
    <cellStyle name="40% - Énfasis3 2 3" xfId="1239" xr:uid="{00000000-0005-0000-0000-00001F010000}"/>
    <cellStyle name="40% - Énfasis3 2 3 2" xfId="1240" xr:uid="{00000000-0005-0000-0000-000020010000}"/>
    <cellStyle name="40% - Énfasis3 2 4" xfId="1241" xr:uid="{00000000-0005-0000-0000-000021010000}"/>
    <cellStyle name="40% - Énfasis3 3" xfId="1242" xr:uid="{00000000-0005-0000-0000-000022010000}"/>
    <cellStyle name="40% - Énfasis3 3 2" xfId="1243" xr:uid="{00000000-0005-0000-0000-000023010000}"/>
    <cellStyle name="40% - Énfasis3 4" xfId="1244" xr:uid="{00000000-0005-0000-0000-000024010000}"/>
    <cellStyle name="40% - Énfasis3 4 2" xfId="1245" xr:uid="{00000000-0005-0000-0000-000025010000}"/>
    <cellStyle name="40% - Énfasis4" xfId="171" xr:uid="{00000000-0005-0000-0000-000026010000}"/>
    <cellStyle name="40% - Énfasis4 2" xfId="218" xr:uid="{00000000-0005-0000-0000-000027010000}"/>
    <cellStyle name="40% - Énfasis4 2 2" xfId="1246" xr:uid="{00000000-0005-0000-0000-000028010000}"/>
    <cellStyle name="40% - Énfasis4 2 2 2" xfId="1247" xr:uid="{00000000-0005-0000-0000-000029010000}"/>
    <cellStyle name="40% - Énfasis4 2 3" xfId="1248" xr:uid="{00000000-0005-0000-0000-00002A010000}"/>
    <cellStyle name="40% - Énfasis4 2 3 2" xfId="1249" xr:uid="{00000000-0005-0000-0000-00002B010000}"/>
    <cellStyle name="40% - Énfasis4 2 4" xfId="1250" xr:uid="{00000000-0005-0000-0000-00002C010000}"/>
    <cellStyle name="40% - Énfasis4 3" xfId="1251" xr:uid="{00000000-0005-0000-0000-00002D010000}"/>
    <cellStyle name="40% - Énfasis4 3 2" xfId="1252" xr:uid="{00000000-0005-0000-0000-00002E010000}"/>
    <cellStyle name="40% - Énfasis4 4" xfId="1253" xr:uid="{00000000-0005-0000-0000-00002F010000}"/>
    <cellStyle name="40% - Énfasis4 4 2" xfId="1254" xr:uid="{00000000-0005-0000-0000-000030010000}"/>
    <cellStyle name="40% - Énfasis5" xfId="170" xr:uid="{00000000-0005-0000-0000-000031010000}"/>
    <cellStyle name="40% - Énfasis5 2" xfId="1255" xr:uid="{00000000-0005-0000-0000-000032010000}"/>
    <cellStyle name="40% - Énfasis5 2 2" xfId="1256" xr:uid="{00000000-0005-0000-0000-000033010000}"/>
    <cellStyle name="40% - Énfasis5 2 2 2" xfId="1257" xr:uid="{00000000-0005-0000-0000-000034010000}"/>
    <cellStyle name="40% - Énfasis5 2 3" xfId="1258" xr:uid="{00000000-0005-0000-0000-000035010000}"/>
    <cellStyle name="40% - Énfasis5 2 3 2" xfId="1259" xr:uid="{00000000-0005-0000-0000-000036010000}"/>
    <cellStyle name="40% - Énfasis5 2 4" xfId="1260" xr:uid="{00000000-0005-0000-0000-000037010000}"/>
    <cellStyle name="40% - Énfasis5 3" xfId="1261" xr:uid="{00000000-0005-0000-0000-000038010000}"/>
    <cellStyle name="40% - Énfasis5 3 2" xfId="1262" xr:uid="{00000000-0005-0000-0000-000039010000}"/>
    <cellStyle name="40% - Énfasis5 4" xfId="1263" xr:uid="{00000000-0005-0000-0000-00003A010000}"/>
    <cellStyle name="40% - Énfasis5 4 2" xfId="1264" xr:uid="{00000000-0005-0000-0000-00003B010000}"/>
    <cellStyle name="40% - Énfasis6" xfId="169" xr:uid="{00000000-0005-0000-0000-00003C010000}"/>
    <cellStyle name="40% - Énfasis6 2" xfId="219" xr:uid="{00000000-0005-0000-0000-00003D010000}"/>
    <cellStyle name="40% - Énfasis6 2 2" xfId="1265" xr:uid="{00000000-0005-0000-0000-00003E010000}"/>
    <cellStyle name="40% - Énfasis6 2 2 2" xfId="1266" xr:uid="{00000000-0005-0000-0000-00003F010000}"/>
    <cellStyle name="40% - Énfasis6 2 3" xfId="1267" xr:uid="{00000000-0005-0000-0000-000040010000}"/>
    <cellStyle name="40% - Énfasis6 2 3 2" xfId="1268" xr:uid="{00000000-0005-0000-0000-000041010000}"/>
    <cellStyle name="40% - Énfasis6 2 4" xfId="1269" xr:uid="{00000000-0005-0000-0000-000042010000}"/>
    <cellStyle name="40% - Énfasis6 3" xfId="1270" xr:uid="{00000000-0005-0000-0000-000043010000}"/>
    <cellStyle name="40% - Énfasis6 3 2" xfId="1271" xr:uid="{00000000-0005-0000-0000-000044010000}"/>
    <cellStyle name="40% - Énfasis6 4" xfId="1272" xr:uid="{00000000-0005-0000-0000-000045010000}"/>
    <cellStyle name="40% - Énfasis6 4 2" xfId="1273" xr:uid="{00000000-0005-0000-0000-000046010000}"/>
    <cellStyle name="60% - Accent1 2" xfId="168" xr:uid="{00000000-0005-0000-0000-000047010000}"/>
    <cellStyle name="60% - Accent1 3" xfId="1274" xr:uid="{00000000-0005-0000-0000-000048010000}"/>
    <cellStyle name="60% - Accent1 4" xfId="1275" xr:uid="{00000000-0005-0000-0000-000049010000}"/>
    <cellStyle name="60% - Accent2 2" xfId="167" xr:uid="{00000000-0005-0000-0000-00004A010000}"/>
    <cellStyle name="60% - Accent2 3" xfId="1276" xr:uid="{00000000-0005-0000-0000-00004B010000}"/>
    <cellStyle name="60% - Accent2 4" xfId="1277" xr:uid="{00000000-0005-0000-0000-00004C010000}"/>
    <cellStyle name="60% - Accent3 2" xfId="166" xr:uid="{00000000-0005-0000-0000-00004D010000}"/>
    <cellStyle name="60% - Accent3 3" xfId="1278" xr:uid="{00000000-0005-0000-0000-00004E010000}"/>
    <cellStyle name="60% - Accent3 4" xfId="1279" xr:uid="{00000000-0005-0000-0000-00004F010000}"/>
    <cellStyle name="60% - Accent4 2" xfId="165" xr:uid="{00000000-0005-0000-0000-000050010000}"/>
    <cellStyle name="60% - Accent4 3" xfId="1280" xr:uid="{00000000-0005-0000-0000-000051010000}"/>
    <cellStyle name="60% - Accent4 4" xfId="1281" xr:uid="{00000000-0005-0000-0000-000052010000}"/>
    <cellStyle name="60% - Accent5 2" xfId="164" xr:uid="{00000000-0005-0000-0000-000053010000}"/>
    <cellStyle name="60% - Accent5 3" xfId="1282" xr:uid="{00000000-0005-0000-0000-000054010000}"/>
    <cellStyle name="60% - Accent5 4" xfId="1283" xr:uid="{00000000-0005-0000-0000-000055010000}"/>
    <cellStyle name="60% - Accent6 2" xfId="163" xr:uid="{00000000-0005-0000-0000-000056010000}"/>
    <cellStyle name="60% - Accent6 3" xfId="1284" xr:uid="{00000000-0005-0000-0000-000057010000}"/>
    <cellStyle name="60% - Accent6 4" xfId="1285" xr:uid="{00000000-0005-0000-0000-000058010000}"/>
    <cellStyle name="60% - Énfasis1" xfId="162" xr:uid="{00000000-0005-0000-0000-000059010000}"/>
    <cellStyle name="60% - Énfasis1 2" xfId="220" xr:uid="{00000000-0005-0000-0000-00005A010000}"/>
    <cellStyle name="60% - Énfasis1 2 2" xfId="1286" xr:uid="{00000000-0005-0000-0000-00005B010000}"/>
    <cellStyle name="60% - Énfasis1 2 3" xfId="1287" xr:uid="{00000000-0005-0000-0000-00005C010000}"/>
    <cellStyle name="60% - Énfasis1 3" xfId="1288" xr:uid="{00000000-0005-0000-0000-00005D010000}"/>
    <cellStyle name="60% - Énfasis1 4" xfId="1289" xr:uid="{00000000-0005-0000-0000-00005E010000}"/>
    <cellStyle name="60% - Énfasis2" xfId="161" xr:uid="{00000000-0005-0000-0000-00005F010000}"/>
    <cellStyle name="60% - Énfasis2 2" xfId="1290" xr:uid="{00000000-0005-0000-0000-000060010000}"/>
    <cellStyle name="60% - Énfasis2 2 2" xfId="1291" xr:uid="{00000000-0005-0000-0000-000061010000}"/>
    <cellStyle name="60% - Énfasis2 2 3" xfId="1292" xr:uid="{00000000-0005-0000-0000-000062010000}"/>
    <cellStyle name="60% - Énfasis2 3" xfId="1293" xr:uid="{00000000-0005-0000-0000-000063010000}"/>
    <cellStyle name="60% - Énfasis2 4" xfId="1294" xr:uid="{00000000-0005-0000-0000-000064010000}"/>
    <cellStyle name="60% - Énfasis3" xfId="160" xr:uid="{00000000-0005-0000-0000-000065010000}"/>
    <cellStyle name="60% - Énfasis3 2" xfId="221" xr:uid="{00000000-0005-0000-0000-000066010000}"/>
    <cellStyle name="60% - Énfasis3 2 2" xfId="1295" xr:uid="{00000000-0005-0000-0000-000067010000}"/>
    <cellStyle name="60% - Énfasis3 2 3" xfId="1296" xr:uid="{00000000-0005-0000-0000-000068010000}"/>
    <cellStyle name="60% - Énfasis3 3" xfId="1297" xr:uid="{00000000-0005-0000-0000-000069010000}"/>
    <cellStyle name="60% - Énfasis3 4" xfId="1298" xr:uid="{00000000-0005-0000-0000-00006A010000}"/>
    <cellStyle name="60% - Énfasis4" xfId="159" xr:uid="{00000000-0005-0000-0000-00006B010000}"/>
    <cellStyle name="60% - Énfasis4 2" xfId="222" xr:uid="{00000000-0005-0000-0000-00006C010000}"/>
    <cellStyle name="60% - Énfasis4 2 2" xfId="1299" xr:uid="{00000000-0005-0000-0000-00006D010000}"/>
    <cellStyle name="60% - Énfasis4 2 3" xfId="1300" xr:uid="{00000000-0005-0000-0000-00006E010000}"/>
    <cellStyle name="60% - Énfasis4 3" xfId="1301" xr:uid="{00000000-0005-0000-0000-00006F010000}"/>
    <cellStyle name="60% - Énfasis4 4" xfId="1302" xr:uid="{00000000-0005-0000-0000-000070010000}"/>
    <cellStyle name="60% - Énfasis5" xfId="158" xr:uid="{00000000-0005-0000-0000-000071010000}"/>
    <cellStyle name="60% - Énfasis5 2" xfId="1303" xr:uid="{00000000-0005-0000-0000-000072010000}"/>
    <cellStyle name="60% - Énfasis5 2 2" xfId="1304" xr:uid="{00000000-0005-0000-0000-000073010000}"/>
    <cellStyle name="60% - Énfasis5 2 3" xfId="1305" xr:uid="{00000000-0005-0000-0000-000074010000}"/>
    <cellStyle name="60% - Énfasis5 3" xfId="1306" xr:uid="{00000000-0005-0000-0000-000075010000}"/>
    <cellStyle name="60% - Énfasis5 4" xfId="1307" xr:uid="{00000000-0005-0000-0000-000076010000}"/>
    <cellStyle name="60% - Énfasis6" xfId="157" xr:uid="{00000000-0005-0000-0000-000077010000}"/>
    <cellStyle name="60% - Énfasis6 2" xfId="223" xr:uid="{00000000-0005-0000-0000-000078010000}"/>
    <cellStyle name="60% - Énfasis6 2 2" xfId="1308" xr:uid="{00000000-0005-0000-0000-000079010000}"/>
    <cellStyle name="60% - Énfasis6 2 3" xfId="1309" xr:uid="{00000000-0005-0000-0000-00007A010000}"/>
    <cellStyle name="60% - Énfasis6 3" xfId="1310" xr:uid="{00000000-0005-0000-0000-00007B010000}"/>
    <cellStyle name="60% - Énfasis6 4" xfId="1311" xr:uid="{00000000-0005-0000-0000-00007C010000}"/>
    <cellStyle name="a_Divisão" xfId="580" xr:uid="{00000000-0005-0000-0000-00007D010000}"/>
    <cellStyle name="a_normal" xfId="581" xr:uid="{00000000-0005-0000-0000-00007E010000}"/>
    <cellStyle name="a_normal_Modelo Atacocha v2" xfId="582" xr:uid="{00000000-0005-0000-0000-00007F010000}"/>
    <cellStyle name="a_quebra_1" xfId="583" xr:uid="{00000000-0005-0000-0000-000080010000}"/>
    <cellStyle name="a_quebra_2" xfId="584" xr:uid="{00000000-0005-0000-0000-000081010000}"/>
    <cellStyle name="A3 297 x 420 mm" xfId="585" xr:uid="{00000000-0005-0000-0000-000082010000}"/>
    <cellStyle name="A3 297 x 420 mm 2" xfId="1312" xr:uid="{00000000-0005-0000-0000-000083010000}"/>
    <cellStyle name="Accent1 2" xfId="156" xr:uid="{00000000-0005-0000-0000-000084010000}"/>
    <cellStyle name="Accent1 3" xfId="1313" xr:uid="{00000000-0005-0000-0000-000085010000}"/>
    <cellStyle name="Accent1 4" xfId="1314" xr:uid="{00000000-0005-0000-0000-000086010000}"/>
    <cellStyle name="Accent2 2" xfId="155" xr:uid="{00000000-0005-0000-0000-000087010000}"/>
    <cellStyle name="Accent2 3" xfId="1315" xr:uid="{00000000-0005-0000-0000-000088010000}"/>
    <cellStyle name="Accent2 4" xfId="1316" xr:uid="{00000000-0005-0000-0000-000089010000}"/>
    <cellStyle name="Accent3 2" xfId="154" xr:uid="{00000000-0005-0000-0000-00008A010000}"/>
    <cellStyle name="Accent3 3" xfId="1317" xr:uid="{00000000-0005-0000-0000-00008B010000}"/>
    <cellStyle name="Accent3 4" xfId="1318" xr:uid="{00000000-0005-0000-0000-00008C010000}"/>
    <cellStyle name="Accent4 2" xfId="153" xr:uid="{00000000-0005-0000-0000-00008D010000}"/>
    <cellStyle name="Accent4 3" xfId="1319" xr:uid="{00000000-0005-0000-0000-00008E010000}"/>
    <cellStyle name="Accent4 4" xfId="1320" xr:uid="{00000000-0005-0000-0000-00008F010000}"/>
    <cellStyle name="Accent5 2" xfId="152" xr:uid="{00000000-0005-0000-0000-000090010000}"/>
    <cellStyle name="Accent5 3" xfId="1321" xr:uid="{00000000-0005-0000-0000-000091010000}"/>
    <cellStyle name="Accent5 4" xfId="1322" xr:uid="{00000000-0005-0000-0000-000092010000}"/>
    <cellStyle name="Accent6 2" xfId="151" xr:uid="{00000000-0005-0000-0000-000093010000}"/>
    <cellStyle name="Accent6 3" xfId="1323" xr:uid="{00000000-0005-0000-0000-000094010000}"/>
    <cellStyle name="Accent6 4" xfId="1324" xr:uid="{00000000-0005-0000-0000-000095010000}"/>
    <cellStyle name="Accounting" xfId="586" xr:uid="{00000000-0005-0000-0000-000096010000}"/>
    <cellStyle name="Acctg" xfId="587" xr:uid="{00000000-0005-0000-0000-000097010000}"/>
    <cellStyle name="Acctg$" xfId="588" xr:uid="{00000000-0005-0000-0000-000098010000}"/>
    <cellStyle name="ACHINERY AND EQUIPMENT" xfId="589" xr:uid="{00000000-0005-0000-0000-000099010000}"/>
    <cellStyle name="args.style" xfId="4" xr:uid="{00000000-0005-0000-0000-00009A010000}"/>
    <cellStyle name="Array" xfId="590" xr:uid="{00000000-0005-0000-0000-00009B010000}"/>
    <cellStyle name="Array Enter" xfId="591" xr:uid="{00000000-0005-0000-0000-00009C010000}"/>
    <cellStyle name="Array Enter 2" xfId="1325" xr:uid="{00000000-0005-0000-0000-00009D010000}"/>
    <cellStyle name="background" xfId="592" xr:uid="{00000000-0005-0000-0000-00009E010000}"/>
    <cellStyle name="Bad 2" xfId="150" xr:uid="{00000000-0005-0000-0000-00009F010000}"/>
    <cellStyle name="Bad 3" xfId="1326" xr:uid="{00000000-0005-0000-0000-0000A0010000}"/>
    <cellStyle name="Bad 4" xfId="1327" xr:uid="{00000000-0005-0000-0000-0000A1010000}"/>
    <cellStyle name="banner" xfId="593" xr:uid="{00000000-0005-0000-0000-0000A2010000}"/>
    <cellStyle name="blank" xfId="594" xr:uid="{00000000-0005-0000-0000-0000A3010000}"/>
    <cellStyle name="Body_Text" xfId="5" xr:uid="{00000000-0005-0000-0000-0000A4010000}"/>
    <cellStyle name="Bold/Border" xfId="595" xr:uid="{00000000-0005-0000-0000-0000A5010000}"/>
    <cellStyle name="Border" xfId="596" xr:uid="{00000000-0005-0000-0000-0000A6010000}"/>
    <cellStyle name="bordi" xfId="597" xr:uid="{00000000-0005-0000-0000-0000A7010000}"/>
    <cellStyle name="Bottom Edge" xfId="598" xr:uid="{00000000-0005-0000-0000-0000A8010000}"/>
    <cellStyle name="Buena" xfId="149" xr:uid="{00000000-0005-0000-0000-0000A9010000}"/>
    <cellStyle name="Buena 2" xfId="599" xr:uid="{00000000-0005-0000-0000-0000AA010000}"/>
    <cellStyle name="Buena 2 2" xfId="1328" xr:uid="{00000000-0005-0000-0000-0000AB010000}"/>
    <cellStyle name="Buena 2 3" xfId="1329" xr:uid="{00000000-0005-0000-0000-0000AC010000}"/>
    <cellStyle name="Buena 2 4" xfId="1330" xr:uid="{00000000-0005-0000-0000-0000AD010000}"/>
    <cellStyle name="Buena 3" xfId="600" xr:uid="{00000000-0005-0000-0000-0000AE010000}"/>
    <cellStyle name="Buena 3 2" xfId="1331" xr:uid="{00000000-0005-0000-0000-0000AF010000}"/>
    <cellStyle name="Buena 4" xfId="1332" xr:uid="{00000000-0005-0000-0000-0000B0010000}"/>
    <cellStyle name="Bullet" xfId="601" xr:uid="{00000000-0005-0000-0000-0000B1010000}"/>
    <cellStyle name="C00A" xfId="602" xr:uid="{00000000-0005-0000-0000-0000B2010000}"/>
    <cellStyle name="C00B" xfId="603" xr:uid="{00000000-0005-0000-0000-0000B3010000}"/>
    <cellStyle name="C00L" xfId="604" xr:uid="{00000000-0005-0000-0000-0000B4010000}"/>
    <cellStyle name="C01A" xfId="605" xr:uid="{00000000-0005-0000-0000-0000B5010000}"/>
    <cellStyle name="C01B" xfId="606" xr:uid="{00000000-0005-0000-0000-0000B6010000}"/>
    <cellStyle name="C01H" xfId="607" xr:uid="{00000000-0005-0000-0000-0000B7010000}"/>
    <cellStyle name="C01L" xfId="608" xr:uid="{00000000-0005-0000-0000-0000B8010000}"/>
    <cellStyle name="C02A" xfId="609" xr:uid="{00000000-0005-0000-0000-0000B9010000}"/>
    <cellStyle name="C02B" xfId="610" xr:uid="{00000000-0005-0000-0000-0000BA010000}"/>
    <cellStyle name="C02H" xfId="611" xr:uid="{00000000-0005-0000-0000-0000BB010000}"/>
    <cellStyle name="C02L" xfId="612" xr:uid="{00000000-0005-0000-0000-0000BC010000}"/>
    <cellStyle name="C03A" xfId="613" xr:uid="{00000000-0005-0000-0000-0000BD010000}"/>
    <cellStyle name="C03B" xfId="614" xr:uid="{00000000-0005-0000-0000-0000BE010000}"/>
    <cellStyle name="C03H" xfId="615" xr:uid="{00000000-0005-0000-0000-0000BF010000}"/>
    <cellStyle name="C03L" xfId="616" xr:uid="{00000000-0005-0000-0000-0000C0010000}"/>
    <cellStyle name="C04A" xfId="617" xr:uid="{00000000-0005-0000-0000-0000C1010000}"/>
    <cellStyle name="C04B" xfId="618" xr:uid="{00000000-0005-0000-0000-0000C2010000}"/>
    <cellStyle name="C04H" xfId="619" xr:uid="{00000000-0005-0000-0000-0000C3010000}"/>
    <cellStyle name="C04L" xfId="620" xr:uid="{00000000-0005-0000-0000-0000C4010000}"/>
    <cellStyle name="C05A" xfId="621" xr:uid="{00000000-0005-0000-0000-0000C5010000}"/>
    <cellStyle name="C05B" xfId="622" xr:uid="{00000000-0005-0000-0000-0000C6010000}"/>
    <cellStyle name="C05H" xfId="623" xr:uid="{00000000-0005-0000-0000-0000C7010000}"/>
    <cellStyle name="C05L" xfId="624" xr:uid="{00000000-0005-0000-0000-0000C8010000}"/>
    <cellStyle name="C06A" xfId="625" xr:uid="{00000000-0005-0000-0000-0000C9010000}"/>
    <cellStyle name="C06B" xfId="626" xr:uid="{00000000-0005-0000-0000-0000CA010000}"/>
    <cellStyle name="C06H" xfId="627" xr:uid="{00000000-0005-0000-0000-0000CB010000}"/>
    <cellStyle name="C06L" xfId="628" xr:uid="{00000000-0005-0000-0000-0000CC010000}"/>
    <cellStyle name="C07A" xfId="629" xr:uid="{00000000-0005-0000-0000-0000CD010000}"/>
    <cellStyle name="C07B" xfId="630" xr:uid="{00000000-0005-0000-0000-0000CE010000}"/>
    <cellStyle name="C07H" xfId="631" xr:uid="{00000000-0005-0000-0000-0000CF010000}"/>
    <cellStyle name="C07L" xfId="632" xr:uid="{00000000-0005-0000-0000-0000D0010000}"/>
    <cellStyle name="Cabecera 1" xfId="633" xr:uid="{00000000-0005-0000-0000-0000D1010000}"/>
    <cellStyle name="Cabecera 1 2" xfId="1333" xr:uid="{00000000-0005-0000-0000-0000D2010000}"/>
    <cellStyle name="Cabecera 2" xfId="634" xr:uid="{00000000-0005-0000-0000-0000D3010000}"/>
    <cellStyle name="Cabecera 2 2" xfId="1334" xr:uid="{00000000-0005-0000-0000-0000D4010000}"/>
    <cellStyle name="calc" xfId="635" xr:uid="{00000000-0005-0000-0000-0000D5010000}"/>
    <cellStyle name="Calc Currency (0)" xfId="6" xr:uid="{00000000-0005-0000-0000-0000D6010000}"/>
    <cellStyle name="Calc Currency (0) 2" xfId="637" xr:uid="{00000000-0005-0000-0000-0000D7010000}"/>
    <cellStyle name="Calc Currency (0) 3" xfId="636" xr:uid="{00000000-0005-0000-0000-0000D8010000}"/>
    <cellStyle name="Calc Currency (0)_Cuadros paraPresentación de Sindicado de Palmas del Espino (V 05 12 08)}" xfId="638" xr:uid="{00000000-0005-0000-0000-0000D9010000}"/>
    <cellStyle name="Calc Currency (2)" xfId="639" xr:uid="{00000000-0005-0000-0000-0000DA010000}"/>
    <cellStyle name="Calc Percent (0)" xfId="640" xr:uid="{00000000-0005-0000-0000-0000DB010000}"/>
    <cellStyle name="Calc Percent (1)" xfId="641" xr:uid="{00000000-0005-0000-0000-0000DC010000}"/>
    <cellStyle name="Calc Percent (2)" xfId="642" xr:uid="{00000000-0005-0000-0000-0000DD010000}"/>
    <cellStyle name="Calc Units (0)" xfId="643" xr:uid="{00000000-0005-0000-0000-0000DE010000}"/>
    <cellStyle name="Calc Units (1)" xfId="644" xr:uid="{00000000-0005-0000-0000-0000DF010000}"/>
    <cellStyle name="Calc Units (2)" xfId="645" xr:uid="{00000000-0005-0000-0000-0000E0010000}"/>
    <cellStyle name="calculated" xfId="646" xr:uid="{00000000-0005-0000-0000-0000E1010000}"/>
    <cellStyle name="Calculation 2" xfId="148" xr:uid="{00000000-0005-0000-0000-0000E2010000}"/>
    <cellStyle name="Calculation 3" xfId="1335" xr:uid="{00000000-0005-0000-0000-0000E3010000}"/>
    <cellStyle name="Calculation 4" xfId="1336" xr:uid="{00000000-0005-0000-0000-0000E4010000}"/>
    <cellStyle name="Cálculo" xfId="147" xr:uid="{00000000-0005-0000-0000-0000E5010000}"/>
    <cellStyle name="Cálculo 2" xfId="224" xr:uid="{00000000-0005-0000-0000-0000E6010000}"/>
    <cellStyle name="Cálculo 2 2" xfId="1337" xr:uid="{00000000-0005-0000-0000-0000E7010000}"/>
    <cellStyle name="Cálculo 2 3" xfId="1338" xr:uid="{00000000-0005-0000-0000-0000E8010000}"/>
    <cellStyle name="Cálculo 2 4" xfId="1339" xr:uid="{00000000-0005-0000-0000-0000E9010000}"/>
    <cellStyle name="Cálculo 3" xfId="647" xr:uid="{00000000-0005-0000-0000-0000EA010000}"/>
    <cellStyle name="Cálculo 3 2" xfId="1340" xr:uid="{00000000-0005-0000-0000-0000EB010000}"/>
    <cellStyle name="Cálculo 4" xfId="1341" xr:uid="{00000000-0005-0000-0000-0000EC010000}"/>
    <cellStyle name="Cambiar to&amp;do" xfId="648" xr:uid="{00000000-0005-0000-0000-0000ED010000}"/>
    <cellStyle name="Cancel" xfId="649" xr:uid="{00000000-0005-0000-0000-0000EE010000}"/>
    <cellStyle name="Cancel 2" xfId="1342" xr:uid="{00000000-0005-0000-0000-0000EF010000}"/>
    <cellStyle name="Celda de comprobación" xfId="146" xr:uid="{00000000-0005-0000-0000-0000F0010000}"/>
    <cellStyle name="Celda de comprobación 2" xfId="650" xr:uid="{00000000-0005-0000-0000-0000F1010000}"/>
    <cellStyle name="Celda de comprobación 2 2" xfId="1343" xr:uid="{00000000-0005-0000-0000-0000F2010000}"/>
    <cellStyle name="Celda de comprobación 2 3" xfId="1344" xr:uid="{00000000-0005-0000-0000-0000F3010000}"/>
    <cellStyle name="Celda de comprobación 2 4" xfId="1345" xr:uid="{00000000-0005-0000-0000-0000F4010000}"/>
    <cellStyle name="Celda de comprobación 3" xfId="651" xr:uid="{00000000-0005-0000-0000-0000F5010000}"/>
    <cellStyle name="Celda de comprobación 3 2" xfId="1346" xr:uid="{00000000-0005-0000-0000-0000F6010000}"/>
    <cellStyle name="Celda de comprobación 4" xfId="1347" xr:uid="{00000000-0005-0000-0000-0000F7010000}"/>
    <cellStyle name="Celda vinculada" xfId="145" xr:uid="{00000000-0005-0000-0000-0000F8010000}"/>
    <cellStyle name="Celda vinculada 2" xfId="652" xr:uid="{00000000-0005-0000-0000-0000F9010000}"/>
    <cellStyle name="Celda vinculada 2 2" xfId="1348" xr:uid="{00000000-0005-0000-0000-0000FA010000}"/>
    <cellStyle name="Celda vinculada 2 3" xfId="1349" xr:uid="{00000000-0005-0000-0000-0000FB010000}"/>
    <cellStyle name="Celda vinculada 2 4" xfId="1350" xr:uid="{00000000-0005-0000-0000-0000FC010000}"/>
    <cellStyle name="Celda vinculada 3" xfId="653" xr:uid="{00000000-0005-0000-0000-0000FD010000}"/>
    <cellStyle name="Celda vinculada 3 2" xfId="1351" xr:uid="{00000000-0005-0000-0000-0000FE010000}"/>
    <cellStyle name="Celda vinculada 4" xfId="1352" xr:uid="{00000000-0005-0000-0000-0000FF010000}"/>
    <cellStyle name="Cents" xfId="654" xr:uid="{00000000-0005-0000-0000-000000020000}"/>
    <cellStyle name="Check Cell 2" xfId="144" xr:uid="{00000000-0005-0000-0000-000001020000}"/>
    <cellStyle name="Check Cell 3" xfId="1353" xr:uid="{00000000-0005-0000-0000-000002020000}"/>
    <cellStyle name="Code" xfId="7" xr:uid="{00000000-0005-0000-0000-000003020000}"/>
    <cellStyle name="Code Section" xfId="8" xr:uid="{00000000-0005-0000-0000-000004020000}"/>
    <cellStyle name="Code Section 2" xfId="97" xr:uid="{00000000-0005-0000-0000-000005020000}"/>
    <cellStyle name="Collegamento ipertestuale" xfId="655" xr:uid="{00000000-0005-0000-0000-000006020000}"/>
    <cellStyle name="Collegamento ipertestuale visitato" xfId="656" xr:uid="{00000000-0005-0000-0000-000007020000}"/>
    <cellStyle name="collegato altro file" xfId="657" xr:uid="{00000000-0005-0000-0000-000008020000}"/>
    <cellStyle name="Collegato altro foglio" xfId="658" xr:uid="{00000000-0005-0000-0000-000009020000}"/>
    <cellStyle name="ColumnHeading" xfId="659" xr:uid="{00000000-0005-0000-0000-00000A020000}"/>
    <cellStyle name="ColumnHeading 2" xfId="1354" xr:uid="{00000000-0005-0000-0000-00000B020000}"/>
    <cellStyle name="Coma0" xfId="9" xr:uid="{00000000-0005-0000-0000-00000C020000}"/>
    <cellStyle name="Coma1" xfId="10" xr:uid="{00000000-0005-0000-0000-00000D020000}"/>
    <cellStyle name="Comma  - Style1" xfId="226" xr:uid="{00000000-0005-0000-0000-00000E020000}"/>
    <cellStyle name="Comma  - Style2" xfId="227" xr:uid="{00000000-0005-0000-0000-00000F020000}"/>
    <cellStyle name="Comma  - Style3" xfId="228" xr:uid="{00000000-0005-0000-0000-000010020000}"/>
    <cellStyle name="Comma  - Style4" xfId="229" xr:uid="{00000000-0005-0000-0000-000011020000}"/>
    <cellStyle name="Comma  - Style5" xfId="230" xr:uid="{00000000-0005-0000-0000-000012020000}"/>
    <cellStyle name="Comma  - Style6" xfId="231" xr:uid="{00000000-0005-0000-0000-000013020000}"/>
    <cellStyle name="Comma  - Style7" xfId="232" xr:uid="{00000000-0005-0000-0000-000014020000}"/>
    <cellStyle name="Comma  - Style8" xfId="233" xr:uid="{00000000-0005-0000-0000-000015020000}"/>
    <cellStyle name="Comma [00]" xfId="660" xr:uid="{00000000-0005-0000-0000-000016020000}"/>
    <cellStyle name="Comma [1]" xfId="1355" xr:uid="{00000000-0005-0000-0000-000017020000}"/>
    <cellStyle name="Comma 0" xfId="661" xr:uid="{00000000-0005-0000-0000-000018020000}"/>
    <cellStyle name="Comma 10" xfId="329" xr:uid="{00000000-0005-0000-0000-000019020000}"/>
    <cellStyle name="Comma 11" xfId="331" xr:uid="{00000000-0005-0000-0000-00001A020000}"/>
    <cellStyle name="Comma 12" xfId="333" xr:uid="{00000000-0005-0000-0000-00001B020000}"/>
    <cellStyle name="Comma 13" xfId="326" xr:uid="{00000000-0005-0000-0000-00001C020000}"/>
    <cellStyle name="Comma 14" xfId="336" xr:uid="{00000000-0005-0000-0000-00001D020000}"/>
    <cellStyle name="Comma 15" xfId="338" xr:uid="{00000000-0005-0000-0000-00001E020000}"/>
    <cellStyle name="Comma 16" xfId="340" xr:uid="{00000000-0005-0000-0000-00001F020000}"/>
    <cellStyle name="Comma 17" xfId="377" xr:uid="{00000000-0005-0000-0000-000020020000}"/>
    <cellStyle name="Comma 18" xfId="381" xr:uid="{00000000-0005-0000-0000-000021020000}"/>
    <cellStyle name="Comma 19" xfId="383" xr:uid="{00000000-0005-0000-0000-000022020000}"/>
    <cellStyle name="Comma 2" xfId="11" xr:uid="{00000000-0005-0000-0000-000023020000}"/>
    <cellStyle name="Comma 2 2" xfId="662" xr:uid="{00000000-0005-0000-0000-000024020000}"/>
    <cellStyle name="Comma 2 3" xfId="1356" xr:uid="{00000000-0005-0000-0000-000025020000}"/>
    <cellStyle name="Comma 2 4" xfId="143" xr:uid="{00000000-0005-0000-0000-000026020000}"/>
    <cellStyle name="Comma 20" xfId="385" xr:uid="{00000000-0005-0000-0000-000027020000}"/>
    <cellStyle name="Comma 21" xfId="387" xr:uid="{00000000-0005-0000-0000-000028020000}"/>
    <cellStyle name="Comma 22" xfId="389" xr:uid="{00000000-0005-0000-0000-000029020000}"/>
    <cellStyle name="Comma 23" xfId="391" xr:uid="{00000000-0005-0000-0000-00002A020000}"/>
    <cellStyle name="Comma 24" xfId="421" xr:uid="{00000000-0005-0000-0000-00002B020000}"/>
    <cellStyle name="Comma 25" xfId="432" xr:uid="{00000000-0005-0000-0000-00002C020000}"/>
    <cellStyle name="Comma 26" xfId="433" xr:uid="{00000000-0005-0000-0000-00002D020000}"/>
    <cellStyle name="Comma 27" xfId="435" xr:uid="{00000000-0005-0000-0000-00002E020000}"/>
    <cellStyle name="Comma 28" xfId="437" xr:uid="{00000000-0005-0000-0000-00002F020000}"/>
    <cellStyle name="Comma 29" xfId="439" xr:uid="{00000000-0005-0000-0000-000030020000}"/>
    <cellStyle name="Comma 3" xfId="142" xr:uid="{00000000-0005-0000-0000-000031020000}"/>
    <cellStyle name="Comma 3 2" xfId="141" xr:uid="{00000000-0005-0000-0000-000032020000}"/>
    <cellStyle name="Comma 3 3" xfId="424" xr:uid="{00000000-0005-0000-0000-000033020000}"/>
    <cellStyle name="Comma 30" xfId="442" xr:uid="{00000000-0005-0000-0000-000034020000}"/>
    <cellStyle name="Comma 31" xfId="203" xr:uid="{00000000-0005-0000-0000-000035020000}"/>
    <cellStyle name="Comma 32" xfId="445" xr:uid="{00000000-0005-0000-0000-000036020000}"/>
    <cellStyle name="Comma 33" xfId="450" xr:uid="{00000000-0005-0000-0000-000037020000}"/>
    <cellStyle name="Comma 34" xfId="446" xr:uid="{00000000-0005-0000-0000-000038020000}"/>
    <cellStyle name="Comma 35" xfId="1357" xr:uid="{00000000-0005-0000-0000-000039020000}"/>
    <cellStyle name="Comma 4" xfId="140" xr:uid="{00000000-0005-0000-0000-00003A020000}"/>
    <cellStyle name="Comma 4 2" xfId="663" xr:uid="{00000000-0005-0000-0000-00003B020000}"/>
    <cellStyle name="Comma 5" xfId="139" xr:uid="{00000000-0005-0000-0000-00003C020000}"/>
    <cellStyle name="Comma 6" xfId="225" xr:uid="{00000000-0005-0000-0000-00003D020000}"/>
    <cellStyle name="Comma 7" xfId="258" xr:uid="{00000000-0005-0000-0000-00003E020000}"/>
    <cellStyle name="Comma 8" xfId="267" xr:uid="{00000000-0005-0000-0000-00003F020000}"/>
    <cellStyle name="Comma 9" xfId="325" xr:uid="{00000000-0005-0000-0000-000040020000}"/>
    <cellStyle name="Comma Cents" xfId="664" xr:uid="{00000000-0005-0000-0000-000041020000}"/>
    <cellStyle name="Comma(%)" xfId="1358" xr:uid="{00000000-0005-0000-0000-000042020000}"/>
    <cellStyle name="Comma0" xfId="12" xr:uid="{00000000-0005-0000-0000-000043020000}"/>
    <cellStyle name="Comma0 - Estilo3" xfId="665" xr:uid="{00000000-0005-0000-0000-000044020000}"/>
    <cellStyle name="Comma0 - Modelo1" xfId="13" xr:uid="{00000000-0005-0000-0000-000045020000}"/>
    <cellStyle name="Comma0 - Style1" xfId="14" xr:uid="{00000000-0005-0000-0000-000046020000}"/>
    <cellStyle name="Comma0 2" xfId="98" xr:uid="{00000000-0005-0000-0000-000047020000}"/>
    <cellStyle name="Comma1 - Estilo1" xfId="666" xr:uid="{00000000-0005-0000-0000-000048020000}"/>
    <cellStyle name="Comma1 - Modelo2" xfId="15" xr:uid="{00000000-0005-0000-0000-000049020000}"/>
    <cellStyle name="Comma1 - Style2" xfId="16" xr:uid="{00000000-0005-0000-0000-00004A020000}"/>
    <cellStyle name="Copied" xfId="17" xr:uid="{00000000-0005-0000-0000-00004B020000}"/>
    <cellStyle name="COST1" xfId="18" xr:uid="{00000000-0005-0000-0000-00004C020000}"/>
    <cellStyle name="Currency [0] U" xfId="667" xr:uid="{00000000-0005-0000-0000-00004D020000}"/>
    <cellStyle name="Currency [0] U 2" xfId="1646" xr:uid="{00000000-0005-0000-0000-00004E020000}"/>
    <cellStyle name="Currency [00]" xfId="668" xr:uid="{00000000-0005-0000-0000-00004F020000}"/>
    <cellStyle name="Currency [1]" xfId="669" xr:uid="{00000000-0005-0000-0000-000050020000}"/>
    <cellStyle name="Currency [2]" xfId="670" xr:uid="{00000000-0005-0000-0000-000051020000}"/>
    <cellStyle name="Currency [2] U" xfId="671" xr:uid="{00000000-0005-0000-0000-000052020000}"/>
    <cellStyle name="Currency [2] U 2" xfId="1647" xr:uid="{00000000-0005-0000-0000-000053020000}"/>
    <cellStyle name="Currency [2]_040805 HLH joint financial model v0.3j" xfId="672" xr:uid="{00000000-0005-0000-0000-000054020000}"/>
    <cellStyle name="Currency 0" xfId="673" xr:uid="{00000000-0005-0000-0000-000055020000}"/>
    <cellStyle name="Currency 2" xfId="19" xr:uid="{00000000-0005-0000-0000-000056020000}"/>
    <cellStyle name="Currency 2 2" xfId="1359" xr:uid="{00000000-0005-0000-0000-000057020000}"/>
    <cellStyle name="Currency 2 3" xfId="1360" xr:uid="{00000000-0005-0000-0000-000058020000}"/>
    <cellStyle name="Currency 3" xfId="138" xr:uid="{00000000-0005-0000-0000-000059020000}"/>
    <cellStyle name="Currency 3 2" xfId="1361" xr:uid="{00000000-0005-0000-0000-00005A020000}"/>
    <cellStyle name="Currency 4" xfId="1362" xr:uid="{00000000-0005-0000-0000-00005B020000}"/>
    <cellStyle name="Currency 5" xfId="1363" xr:uid="{00000000-0005-0000-0000-00005C020000}"/>
    <cellStyle name="Currency 6" xfId="1364" xr:uid="{00000000-0005-0000-0000-00005D020000}"/>
    <cellStyle name="Currency 7" xfId="1365" xr:uid="{00000000-0005-0000-0000-00005E020000}"/>
    <cellStyle name="Currency0" xfId="20" xr:uid="{00000000-0005-0000-0000-00005F020000}"/>
    <cellStyle name="Currency0 2" xfId="99" xr:uid="{00000000-0005-0000-0000-000060020000}"/>
    <cellStyle name="Dash" xfId="674" xr:uid="{00000000-0005-0000-0000-000061020000}"/>
    <cellStyle name="Data" xfId="675" xr:uid="{00000000-0005-0000-0000-000062020000}"/>
    <cellStyle name="Date" xfId="21" xr:uid="{00000000-0005-0000-0000-000063020000}"/>
    <cellStyle name="Date &amp; Time" xfId="676" xr:uid="{00000000-0005-0000-0000-000064020000}"/>
    <cellStyle name="Date [mm-d-yyyy]" xfId="677" xr:uid="{00000000-0005-0000-0000-000065020000}"/>
    <cellStyle name="Date [mmm-d-yyyy]" xfId="678" xr:uid="{00000000-0005-0000-0000-000066020000}"/>
    <cellStyle name="Date [mmm-yy]" xfId="679" xr:uid="{00000000-0005-0000-0000-000067020000}"/>
    <cellStyle name="Date [mmm-yyyy]" xfId="680" xr:uid="{00000000-0005-0000-0000-000068020000}"/>
    <cellStyle name="Date 2" xfId="100" xr:uid="{00000000-0005-0000-0000-000069020000}"/>
    <cellStyle name="Date 2 2" xfId="1366" xr:uid="{00000000-0005-0000-0000-00006A020000}"/>
    <cellStyle name="Date 3" xfId="234" xr:uid="{00000000-0005-0000-0000-00006B020000}"/>
    <cellStyle name="Date Aligned" xfId="681" xr:uid="{00000000-0005-0000-0000-00006C020000}"/>
    <cellStyle name="Date Short" xfId="682" xr:uid="{00000000-0005-0000-0000-00006D020000}"/>
    <cellStyle name="Date U" xfId="683" xr:uid="{00000000-0005-0000-0000-00006E020000}"/>
    <cellStyle name="Date U 2" xfId="1648" xr:uid="{00000000-0005-0000-0000-00006F020000}"/>
    <cellStyle name="Date_040805 HLH joint financial model v0.3j" xfId="684" xr:uid="{00000000-0005-0000-0000-000070020000}"/>
    <cellStyle name="Date2" xfId="685" xr:uid="{00000000-0005-0000-0000-000071020000}"/>
    <cellStyle name="DateDMY" xfId="1367" xr:uid="{00000000-0005-0000-0000-000072020000}"/>
    <cellStyle name="DateLong" xfId="22" xr:uid="{00000000-0005-0000-0000-000073020000}"/>
    <cellStyle name="DateLong 2" xfId="1644" xr:uid="{00000000-0005-0000-0000-000074020000}"/>
    <cellStyle name="DateShort" xfId="23" xr:uid="{00000000-0005-0000-0000-000075020000}"/>
    <cellStyle name="datetime" xfId="686" xr:uid="{00000000-0005-0000-0000-000076020000}"/>
    <cellStyle name="Datos" xfId="687" xr:uid="{00000000-0005-0000-0000-000077020000}"/>
    <cellStyle name="Datos 2" xfId="1649" xr:uid="{00000000-0005-0000-0000-000078020000}"/>
    <cellStyle name="Decimal [0]" xfId="688" xr:uid="{00000000-0005-0000-0000-000079020000}"/>
    <cellStyle name="Decimal [2]" xfId="689" xr:uid="{00000000-0005-0000-0000-00007A020000}"/>
    <cellStyle name="Decimal [2] U" xfId="690" xr:uid="{00000000-0005-0000-0000-00007B020000}"/>
    <cellStyle name="Decimal [2] U 2" xfId="1650" xr:uid="{00000000-0005-0000-0000-00007C020000}"/>
    <cellStyle name="Decimal [4]" xfId="691" xr:uid="{00000000-0005-0000-0000-00007D020000}"/>
    <cellStyle name="Decimal [4] U" xfId="692" xr:uid="{00000000-0005-0000-0000-00007E020000}"/>
    <cellStyle name="Decimal [4] U 2" xfId="1651" xr:uid="{00000000-0005-0000-0000-00007F020000}"/>
    <cellStyle name="Delta percentuale" xfId="693" xr:uid="{00000000-0005-0000-0000-000080020000}"/>
    <cellStyle name="Design" xfId="694" xr:uid="{00000000-0005-0000-0000-000081020000}"/>
    <cellStyle name="Dia" xfId="695" xr:uid="{00000000-0005-0000-0000-000082020000}"/>
    <cellStyle name="Diseño" xfId="696" xr:uid="{00000000-0005-0000-0000-000083020000}"/>
    <cellStyle name="DOBLE" xfId="697" xr:uid="{00000000-0005-0000-0000-000084020000}"/>
    <cellStyle name="Dotted Line" xfId="698" xr:uid="{00000000-0005-0000-0000-000085020000}"/>
    <cellStyle name="Encabez1" xfId="699" xr:uid="{00000000-0005-0000-0000-000086020000}"/>
    <cellStyle name="Encabez1 2" xfId="1368" xr:uid="{00000000-0005-0000-0000-000087020000}"/>
    <cellStyle name="Encabez2" xfId="700" xr:uid="{00000000-0005-0000-0000-000088020000}"/>
    <cellStyle name="Encabez2 2" xfId="1369" xr:uid="{00000000-0005-0000-0000-000089020000}"/>
    <cellStyle name="Encabezado 4" xfId="202" xr:uid="{00000000-0005-0000-0000-00008A020000}"/>
    <cellStyle name="Encabezado 4 2" xfId="235" xr:uid="{00000000-0005-0000-0000-00008B020000}"/>
    <cellStyle name="Encabezado 4 2 2" xfId="1370" xr:uid="{00000000-0005-0000-0000-00008C020000}"/>
    <cellStyle name="Encabezado 4 2 3" xfId="1371" xr:uid="{00000000-0005-0000-0000-00008D020000}"/>
    <cellStyle name="Encabezado 4 2 4" xfId="1372" xr:uid="{00000000-0005-0000-0000-00008E020000}"/>
    <cellStyle name="Encabezado 4 3" xfId="701" xr:uid="{00000000-0005-0000-0000-00008F020000}"/>
    <cellStyle name="Encabezado 4 3 2" xfId="1373" xr:uid="{00000000-0005-0000-0000-000090020000}"/>
    <cellStyle name="Encabezado 4 4" xfId="1374" xr:uid="{00000000-0005-0000-0000-000091020000}"/>
    <cellStyle name="Énfasis 1" xfId="702" xr:uid="{00000000-0005-0000-0000-000092020000}"/>
    <cellStyle name="Énfasis 2" xfId="703" xr:uid="{00000000-0005-0000-0000-000093020000}"/>
    <cellStyle name="Énfasis 3" xfId="704" xr:uid="{00000000-0005-0000-0000-000094020000}"/>
    <cellStyle name="Énfasis1" xfId="137" xr:uid="{00000000-0005-0000-0000-000095020000}"/>
    <cellStyle name="Énfasis1 - 20%" xfId="705" xr:uid="{00000000-0005-0000-0000-000096020000}"/>
    <cellStyle name="Énfasis1 - 20% 2" xfId="1375" xr:uid="{00000000-0005-0000-0000-000097020000}"/>
    <cellStyle name="Énfasis1 - 40%" xfId="706" xr:uid="{00000000-0005-0000-0000-000098020000}"/>
    <cellStyle name="Énfasis1 - 40% 2" xfId="1376" xr:uid="{00000000-0005-0000-0000-000099020000}"/>
    <cellStyle name="Énfasis1 - 60%" xfId="707" xr:uid="{00000000-0005-0000-0000-00009A020000}"/>
    <cellStyle name="Énfasis1 2" xfId="236" xr:uid="{00000000-0005-0000-0000-00009B020000}"/>
    <cellStyle name="Énfasis1 2 2" xfId="1377" xr:uid="{00000000-0005-0000-0000-00009C020000}"/>
    <cellStyle name="Énfasis1 2 3" xfId="1378" xr:uid="{00000000-0005-0000-0000-00009D020000}"/>
    <cellStyle name="Énfasis1 2 4" xfId="1379" xr:uid="{00000000-0005-0000-0000-00009E020000}"/>
    <cellStyle name="Énfasis1 3" xfId="708" xr:uid="{00000000-0005-0000-0000-00009F020000}"/>
    <cellStyle name="Énfasis1 3 2" xfId="1380" xr:uid="{00000000-0005-0000-0000-0000A0020000}"/>
    <cellStyle name="Énfasis1 4" xfId="1381" xr:uid="{00000000-0005-0000-0000-0000A1020000}"/>
    <cellStyle name="Énfasis2" xfId="136" xr:uid="{00000000-0005-0000-0000-0000A2020000}"/>
    <cellStyle name="Énfasis2 - 20%" xfId="709" xr:uid="{00000000-0005-0000-0000-0000A3020000}"/>
    <cellStyle name="Énfasis2 - 20% 2" xfId="1382" xr:uid="{00000000-0005-0000-0000-0000A4020000}"/>
    <cellStyle name="Énfasis2 - 40%" xfId="710" xr:uid="{00000000-0005-0000-0000-0000A5020000}"/>
    <cellStyle name="Énfasis2 - 40% 2" xfId="1383" xr:uid="{00000000-0005-0000-0000-0000A6020000}"/>
    <cellStyle name="Énfasis2 - 60%" xfId="711" xr:uid="{00000000-0005-0000-0000-0000A7020000}"/>
    <cellStyle name="Énfasis2 2" xfId="712" xr:uid="{00000000-0005-0000-0000-0000A8020000}"/>
    <cellStyle name="Énfasis2 2 2" xfId="1384" xr:uid="{00000000-0005-0000-0000-0000A9020000}"/>
    <cellStyle name="Énfasis2 2 3" xfId="1385" xr:uid="{00000000-0005-0000-0000-0000AA020000}"/>
    <cellStyle name="Énfasis2 2 4" xfId="1386" xr:uid="{00000000-0005-0000-0000-0000AB020000}"/>
    <cellStyle name="Énfasis2 3" xfId="713" xr:uid="{00000000-0005-0000-0000-0000AC020000}"/>
    <cellStyle name="Énfasis2 3 2" xfId="1387" xr:uid="{00000000-0005-0000-0000-0000AD020000}"/>
    <cellStyle name="Énfasis2 4" xfId="1388" xr:uid="{00000000-0005-0000-0000-0000AE020000}"/>
    <cellStyle name="Énfasis3" xfId="135" xr:uid="{00000000-0005-0000-0000-0000AF020000}"/>
    <cellStyle name="Énfasis3 - 20%" xfId="714" xr:uid="{00000000-0005-0000-0000-0000B0020000}"/>
    <cellStyle name="Énfasis3 - 20% 2" xfId="1389" xr:uid="{00000000-0005-0000-0000-0000B1020000}"/>
    <cellStyle name="Énfasis3 - 40%" xfId="715" xr:uid="{00000000-0005-0000-0000-0000B2020000}"/>
    <cellStyle name="Énfasis3 - 40% 2" xfId="1390" xr:uid="{00000000-0005-0000-0000-0000B3020000}"/>
    <cellStyle name="Énfasis3 - 60%" xfId="716" xr:uid="{00000000-0005-0000-0000-0000B4020000}"/>
    <cellStyle name="Énfasis3 2" xfId="717" xr:uid="{00000000-0005-0000-0000-0000B5020000}"/>
    <cellStyle name="Énfasis3 2 2" xfId="1391" xr:uid="{00000000-0005-0000-0000-0000B6020000}"/>
    <cellStyle name="Énfasis3 2 3" xfId="1392" xr:uid="{00000000-0005-0000-0000-0000B7020000}"/>
    <cellStyle name="Énfasis3 2 4" xfId="1393" xr:uid="{00000000-0005-0000-0000-0000B8020000}"/>
    <cellStyle name="Énfasis3 3" xfId="718" xr:uid="{00000000-0005-0000-0000-0000B9020000}"/>
    <cellStyle name="Énfasis3 3 2" xfId="1394" xr:uid="{00000000-0005-0000-0000-0000BA020000}"/>
    <cellStyle name="Énfasis3 4" xfId="1395" xr:uid="{00000000-0005-0000-0000-0000BB020000}"/>
    <cellStyle name="Énfasis4" xfId="201" xr:uid="{00000000-0005-0000-0000-0000BC020000}"/>
    <cellStyle name="Énfasis4 - 20%" xfId="719" xr:uid="{00000000-0005-0000-0000-0000BD020000}"/>
    <cellStyle name="Énfasis4 - 20% 2" xfId="1396" xr:uid="{00000000-0005-0000-0000-0000BE020000}"/>
    <cellStyle name="Énfasis4 - 40%" xfId="720" xr:uid="{00000000-0005-0000-0000-0000BF020000}"/>
    <cellStyle name="Énfasis4 - 40% 2" xfId="1397" xr:uid="{00000000-0005-0000-0000-0000C0020000}"/>
    <cellStyle name="Énfasis4 - 60%" xfId="721" xr:uid="{00000000-0005-0000-0000-0000C1020000}"/>
    <cellStyle name="Énfasis4 2" xfId="237" xr:uid="{00000000-0005-0000-0000-0000C2020000}"/>
    <cellStyle name="Énfasis4 2 2" xfId="1398" xr:uid="{00000000-0005-0000-0000-0000C3020000}"/>
    <cellStyle name="Énfasis4 2 3" xfId="1399" xr:uid="{00000000-0005-0000-0000-0000C4020000}"/>
    <cellStyle name="Énfasis4 2 4" xfId="1400" xr:uid="{00000000-0005-0000-0000-0000C5020000}"/>
    <cellStyle name="Énfasis4 3" xfId="722" xr:uid="{00000000-0005-0000-0000-0000C6020000}"/>
    <cellStyle name="Énfasis4 3 2" xfId="1401" xr:uid="{00000000-0005-0000-0000-0000C7020000}"/>
    <cellStyle name="Énfasis4 4" xfId="1402" xr:uid="{00000000-0005-0000-0000-0000C8020000}"/>
    <cellStyle name="Énfasis5" xfId="134" xr:uid="{00000000-0005-0000-0000-0000C9020000}"/>
    <cellStyle name="Énfasis5 - 20%" xfId="723" xr:uid="{00000000-0005-0000-0000-0000CA020000}"/>
    <cellStyle name="Énfasis5 - 20% 2" xfId="1403" xr:uid="{00000000-0005-0000-0000-0000CB020000}"/>
    <cellStyle name="Énfasis5 - 40%" xfId="724" xr:uid="{00000000-0005-0000-0000-0000CC020000}"/>
    <cellStyle name="Énfasis5 - 40% 2" xfId="1404" xr:uid="{00000000-0005-0000-0000-0000CD020000}"/>
    <cellStyle name="Énfasis5 - 60%" xfId="725" xr:uid="{00000000-0005-0000-0000-0000CE020000}"/>
    <cellStyle name="Énfasis5 2" xfId="726" xr:uid="{00000000-0005-0000-0000-0000CF020000}"/>
    <cellStyle name="Énfasis5 2 2" xfId="1405" xr:uid="{00000000-0005-0000-0000-0000D0020000}"/>
    <cellStyle name="Énfasis5 2 3" xfId="1406" xr:uid="{00000000-0005-0000-0000-0000D1020000}"/>
    <cellStyle name="Énfasis5 2 4" xfId="1407" xr:uid="{00000000-0005-0000-0000-0000D2020000}"/>
    <cellStyle name="Énfasis5 3" xfId="727" xr:uid="{00000000-0005-0000-0000-0000D3020000}"/>
    <cellStyle name="Énfasis5 3 2" xfId="1408" xr:uid="{00000000-0005-0000-0000-0000D4020000}"/>
    <cellStyle name="Énfasis5 4" xfId="1409" xr:uid="{00000000-0005-0000-0000-0000D5020000}"/>
    <cellStyle name="Énfasis6" xfId="133" xr:uid="{00000000-0005-0000-0000-0000D6020000}"/>
    <cellStyle name="Énfasis6 - 20%" xfId="728" xr:uid="{00000000-0005-0000-0000-0000D7020000}"/>
    <cellStyle name="Énfasis6 - 20% 2" xfId="1410" xr:uid="{00000000-0005-0000-0000-0000D8020000}"/>
    <cellStyle name="Énfasis6 - 40%" xfId="729" xr:uid="{00000000-0005-0000-0000-0000D9020000}"/>
    <cellStyle name="Énfasis6 - 40% 2" xfId="1411" xr:uid="{00000000-0005-0000-0000-0000DA020000}"/>
    <cellStyle name="Énfasis6 - 60%" xfId="730" xr:uid="{00000000-0005-0000-0000-0000DB020000}"/>
    <cellStyle name="Énfasis6 2" xfId="731" xr:uid="{00000000-0005-0000-0000-0000DC020000}"/>
    <cellStyle name="Énfasis6 2 2" xfId="1412" xr:uid="{00000000-0005-0000-0000-0000DD020000}"/>
    <cellStyle name="Énfasis6 2 3" xfId="1413" xr:uid="{00000000-0005-0000-0000-0000DE020000}"/>
    <cellStyle name="Énfasis6 2 4" xfId="1414" xr:uid="{00000000-0005-0000-0000-0000DF020000}"/>
    <cellStyle name="Énfasis6 3" xfId="732" xr:uid="{00000000-0005-0000-0000-0000E0020000}"/>
    <cellStyle name="Énfasis6 3 2" xfId="1415" xr:uid="{00000000-0005-0000-0000-0000E1020000}"/>
    <cellStyle name="Énfasis6 4" xfId="1416" xr:uid="{00000000-0005-0000-0000-0000E2020000}"/>
    <cellStyle name="Enter Currency (0)" xfId="733" xr:uid="{00000000-0005-0000-0000-0000E3020000}"/>
    <cellStyle name="Enter Currency (2)" xfId="734" xr:uid="{00000000-0005-0000-0000-0000E4020000}"/>
    <cellStyle name="Enter Units (0)" xfId="735" xr:uid="{00000000-0005-0000-0000-0000E5020000}"/>
    <cellStyle name="Enter Units (1)" xfId="736" xr:uid="{00000000-0005-0000-0000-0000E6020000}"/>
    <cellStyle name="Enter Units (2)" xfId="737" xr:uid="{00000000-0005-0000-0000-0000E7020000}"/>
    <cellStyle name="Entered" xfId="24" xr:uid="{00000000-0005-0000-0000-0000E8020000}"/>
    <cellStyle name="Entrada" xfId="132" xr:uid="{00000000-0005-0000-0000-0000E9020000}"/>
    <cellStyle name="Entrada 2" xfId="738" xr:uid="{00000000-0005-0000-0000-0000EA020000}"/>
    <cellStyle name="Entrada 2 2" xfId="1417" xr:uid="{00000000-0005-0000-0000-0000EB020000}"/>
    <cellStyle name="Entrada 2 3" xfId="1418" xr:uid="{00000000-0005-0000-0000-0000EC020000}"/>
    <cellStyle name="Entrada 2 4" xfId="1419" xr:uid="{00000000-0005-0000-0000-0000ED020000}"/>
    <cellStyle name="Entrada 3" xfId="739" xr:uid="{00000000-0005-0000-0000-0000EE020000}"/>
    <cellStyle name="Entrada 3 2" xfId="1420" xr:uid="{00000000-0005-0000-0000-0000EF020000}"/>
    <cellStyle name="Entrada 4" xfId="1421" xr:uid="{00000000-0005-0000-0000-0000F0020000}"/>
    <cellStyle name="Entry_Reporting_Pack_v6.0_NOT_IN_USE_YET" xfId="740" xr:uid="{00000000-0005-0000-0000-0000F1020000}"/>
    <cellStyle name="Estilo 1" xfId="402" xr:uid="{00000000-0005-0000-0000-0000F2020000}"/>
    <cellStyle name="Estilo 1 2" xfId="741" xr:uid="{00000000-0005-0000-0000-0000F3020000}"/>
    <cellStyle name="Estilo 1 2 2" xfId="1422" xr:uid="{00000000-0005-0000-0000-0000F4020000}"/>
    <cellStyle name="Estilo 1 3" xfId="1423" xr:uid="{00000000-0005-0000-0000-0000F5020000}"/>
    <cellStyle name="Estilo 1_Cuadros paraPresentación de Sindicado de Palmas del Espino (V 05 12 08)}" xfId="742" xr:uid="{00000000-0005-0000-0000-0000F6020000}"/>
    <cellStyle name="Estilo 2" xfId="1424" xr:uid="{00000000-0005-0000-0000-0000F7020000}"/>
    <cellStyle name="Estilo 3" xfId="1425" xr:uid="{00000000-0005-0000-0000-0000F8020000}"/>
    <cellStyle name="Euro" xfId="25" xr:uid="{00000000-0005-0000-0000-0000F9020000}"/>
    <cellStyle name="Euro 2" xfId="743" xr:uid="{00000000-0005-0000-0000-0000FA020000}"/>
    <cellStyle name="Euro 2 2" xfId="1426" xr:uid="{00000000-0005-0000-0000-0000FB020000}"/>
    <cellStyle name="Euro 3" xfId="1427" xr:uid="{00000000-0005-0000-0000-0000FC020000}"/>
    <cellStyle name="Euro 4" xfId="1428" xr:uid="{00000000-0005-0000-0000-0000FD020000}"/>
    <cellStyle name="Euro 5" xfId="1429" xr:uid="{00000000-0005-0000-0000-0000FE020000}"/>
    <cellStyle name="Euro 6" xfId="403" xr:uid="{00000000-0005-0000-0000-0000FF020000}"/>
    <cellStyle name="Euro_1.Assump" xfId="1430" xr:uid="{00000000-0005-0000-0000-000000030000}"/>
    <cellStyle name="Excel.Chart" xfId="744" xr:uid="{00000000-0005-0000-0000-000001030000}"/>
    <cellStyle name="Excel.Chart 2" xfId="745" xr:uid="{00000000-0005-0000-0000-000002030000}"/>
    <cellStyle name="Explanatory Text 2" xfId="131" xr:uid="{00000000-0005-0000-0000-000003030000}"/>
    <cellStyle name="Explanatory Text 3" xfId="1431" xr:uid="{00000000-0005-0000-0000-000004030000}"/>
    <cellStyle name="Explanatory Text 4" xfId="1432" xr:uid="{00000000-0005-0000-0000-000005030000}"/>
    <cellStyle name="EY House" xfId="1433" xr:uid="{00000000-0005-0000-0000-000006030000}"/>
    <cellStyle name="F2" xfId="26" xr:uid="{00000000-0005-0000-0000-000007030000}"/>
    <cellStyle name="F2 - Style1" xfId="130" xr:uid="{00000000-0005-0000-0000-000008030000}"/>
    <cellStyle name="F2 2" xfId="238" xr:uid="{00000000-0005-0000-0000-000009030000}"/>
    <cellStyle name="F2 3" xfId="259" xr:uid="{00000000-0005-0000-0000-00000A030000}"/>
    <cellStyle name="F2_COVER" xfId="129" xr:uid="{00000000-0005-0000-0000-00000B030000}"/>
    <cellStyle name="F3" xfId="27" xr:uid="{00000000-0005-0000-0000-00000C030000}"/>
    <cellStyle name="F3 - Style2" xfId="128" xr:uid="{00000000-0005-0000-0000-00000D030000}"/>
    <cellStyle name="F3 2" xfId="239" xr:uid="{00000000-0005-0000-0000-00000E030000}"/>
    <cellStyle name="F3 3" xfId="260" xr:uid="{00000000-0005-0000-0000-00000F030000}"/>
    <cellStyle name="F3_COVER" xfId="127" xr:uid="{00000000-0005-0000-0000-000010030000}"/>
    <cellStyle name="F4" xfId="28" xr:uid="{00000000-0005-0000-0000-000011030000}"/>
    <cellStyle name="F4 2" xfId="240" xr:uid="{00000000-0005-0000-0000-000012030000}"/>
    <cellStyle name="F4 3" xfId="126" xr:uid="{00000000-0005-0000-0000-000013030000}"/>
    <cellStyle name="F5" xfId="29" xr:uid="{00000000-0005-0000-0000-000014030000}"/>
    <cellStyle name="F5 - Style3" xfId="125" xr:uid="{00000000-0005-0000-0000-000015030000}"/>
    <cellStyle name="F5 2" xfId="241" xr:uid="{00000000-0005-0000-0000-000016030000}"/>
    <cellStyle name="F5 3" xfId="261" xr:uid="{00000000-0005-0000-0000-000017030000}"/>
    <cellStyle name="F5_COVER" xfId="200" xr:uid="{00000000-0005-0000-0000-000018030000}"/>
    <cellStyle name="F6" xfId="30" xr:uid="{00000000-0005-0000-0000-000019030000}"/>
    <cellStyle name="F6 2" xfId="242" xr:uid="{00000000-0005-0000-0000-00001A030000}"/>
    <cellStyle name="F6 3" xfId="124" xr:uid="{00000000-0005-0000-0000-00001B030000}"/>
    <cellStyle name="F7" xfId="31" xr:uid="{00000000-0005-0000-0000-00001C030000}"/>
    <cellStyle name="F7 2" xfId="243" xr:uid="{00000000-0005-0000-0000-00001D030000}"/>
    <cellStyle name="F8" xfId="32" xr:uid="{00000000-0005-0000-0000-00001E030000}"/>
    <cellStyle name="F8 2" xfId="244" xr:uid="{00000000-0005-0000-0000-00001F030000}"/>
    <cellStyle name="F8 3" xfId="123" xr:uid="{00000000-0005-0000-0000-000020030000}"/>
    <cellStyle name="fact" xfId="746" xr:uid="{00000000-0005-0000-0000-000021030000}"/>
    <cellStyle name="Factor" xfId="33" xr:uid="{00000000-0005-0000-0000-000022030000}"/>
    <cellStyle name="Fecha" xfId="747" xr:uid="{00000000-0005-0000-0000-000023030000}"/>
    <cellStyle name="Fecha 2" xfId="1434" xr:uid="{00000000-0005-0000-0000-000024030000}"/>
    <cellStyle name="Fechas" xfId="748" xr:uid="{00000000-0005-0000-0000-000025030000}"/>
    <cellStyle name="Fijo" xfId="749" xr:uid="{00000000-0005-0000-0000-000026030000}"/>
    <cellStyle name="Fijo 2" xfId="1435" xr:uid="{00000000-0005-0000-0000-000027030000}"/>
    <cellStyle name="Financiero" xfId="750" xr:uid="{00000000-0005-0000-0000-000028030000}"/>
    <cellStyle name="Financiero 2" xfId="1436" xr:uid="{00000000-0005-0000-0000-000029030000}"/>
    <cellStyle name="Fixed" xfId="34" xr:uid="{00000000-0005-0000-0000-00002A030000}"/>
    <cellStyle name="Fixed [0]" xfId="751" xr:uid="{00000000-0005-0000-0000-00002B030000}"/>
    <cellStyle name="Fixed 2" xfId="101" xr:uid="{00000000-0005-0000-0000-00002C030000}"/>
    <cellStyle name="Fixed 2 2" xfId="1437" xr:uid="{00000000-0005-0000-0000-00002D030000}"/>
    <cellStyle name="Fixed 3" xfId="245" xr:uid="{00000000-0005-0000-0000-00002E030000}"/>
    <cellStyle name="Fixed_051011 Cahua budget 2006 SNPI NOVEMBER FINAL" xfId="752" xr:uid="{00000000-0005-0000-0000-00002F030000}"/>
    <cellStyle name="Fixo" xfId="753" xr:uid="{00000000-0005-0000-0000-000030030000}"/>
    <cellStyle name="fono" xfId="1438" xr:uid="{00000000-0005-0000-0000-000031030000}"/>
    <cellStyle name="font12" xfId="35" xr:uid="{00000000-0005-0000-0000-000032030000}"/>
    <cellStyle name="font14" xfId="36" xr:uid="{00000000-0005-0000-0000-000033030000}"/>
    <cellStyle name="Footnote" xfId="754" xr:uid="{00000000-0005-0000-0000-000034030000}"/>
    <cellStyle name="Footnote 2" xfId="1439" xr:uid="{00000000-0005-0000-0000-000035030000}"/>
    <cellStyle name="general" xfId="755" xr:uid="{00000000-0005-0000-0000-000036030000}"/>
    <cellStyle name="Good 2" xfId="122" xr:uid="{00000000-0005-0000-0000-000037030000}"/>
    <cellStyle name="Good 3" xfId="1440" xr:uid="{00000000-0005-0000-0000-000038030000}"/>
    <cellStyle name="Grey" xfId="37" xr:uid="{00000000-0005-0000-0000-000039030000}"/>
    <cellStyle name="Grey 2" xfId="102" xr:uid="{00000000-0005-0000-0000-00003A030000}"/>
    <cellStyle name="Grey 3" xfId="756" xr:uid="{00000000-0005-0000-0000-00003B030000}"/>
    <cellStyle name="Hard Percent" xfId="757" xr:uid="{00000000-0005-0000-0000-00003C030000}"/>
    <cellStyle name="Hardcode 2" xfId="1661" xr:uid="{00000000-0005-0000-0000-00003D030000}"/>
    <cellStyle name="Header" xfId="758" xr:uid="{00000000-0005-0000-0000-00003E030000}"/>
    <cellStyle name="Header - Style1" xfId="759" xr:uid="{00000000-0005-0000-0000-00003F030000}"/>
    <cellStyle name="Header_Canon 2006" xfId="760" xr:uid="{00000000-0005-0000-0000-000040030000}"/>
    <cellStyle name="Header0" xfId="1441" xr:uid="{00000000-0005-0000-0000-000041030000}"/>
    <cellStyle name="Header1" xfId="38" xr:uid="{00000000-0005-0000-0000-000042030000}"/>
    <cellStyle name="Header2" xfId="39" xr:uid="{00000000-0005-0000-0000-000043030000}"/>
    <cellStyle name="Heading" xfId="761" xr:uid="{00000000-0005-0000-0000-000044030000}"/>
    <cellStyle name="Heading 1 2" xfId="40" xr:uid="{00000000-0005-0000-0000-000045030000}"/>
    <cellStyle name="Heading 1 2 2" xfId="121" xr:uid="{00000000-0005-0000-0000-000046030000}"/>
    <cellStyle name="Heading 1 3" xfId="1442" xr:uid="{00000000-0005-0000-0000-000047030000}"/>
    <cellStyle name="Heading 1 4" xfId="1443" xr:uid="{00000000-0005-0000-0000-000048030000}"/>
    <cellStyle name="Heading 2 2" xfId="41" xr:uid="{00000000-0005-0000-0000-000049030000}"/>
    <cellStyle name="Heading 2 2 2" xfId="120" xr:uid="{00000000-0005-0000-0000-00004A030000}"/>
    <cellStyle name="Heading 2 3" xfId="1444" xr:uid="{00000000-0005-0000-0000-00004B030000}"/>
    <cellStyle name="Heading 2 4" xfId="1445" xr:uid="{00000000-0005-0000-0000-00004C030000}"/>
    <cellStyle name="Heading 2a" xfId="762" xr:uid="{00000000-0005-0000-0000-00004D030000}"/>
    <cellStyle name="Heading 3 2" xfId="119" xr:uid="{00000000-0005-0000-0000-00004E030000}"/>
    <cellStyle name="Heading 3 3" xfId="1446" xr:uid="{00000000-0005-0000-0000-00004F030000}"/>
    <cellStyle name="Heading 3 4" xfId="1447" xr:uid="{00000000-0005-0000-0000-000050030000}"/>
    <cellStyle name="Heading 4 2" xfId="118" xr:uid="{00000000-0005-0000-0000-000051030000}"/>
    <cellStyle name="Heading 4 3" xfId="1448" xr:uid="{00000000-0005-0000-0000-000052030000}"/>
    <cellStyle name="Heading1" xfId="246" xr:uid="{00000000-0005-0000-0000-000053030000}"/>
    <cellStyle name="Heading1 2" xfId="1449" xr:uid="{00000000-0005-0000-0000-000054030000}"/>
    <cellStyle name="Heading2" xfId="247" xr:uid="{00000000-0005-0000-0000-000055030000}"/>
    <cellStyle name="Heading2 2" xfId="1450" xr:uid="{00000000-0005-0000-0000-000056030000}"/>
    <cellStyle name="Headings" xfId="763" xr:uid="{00000000-0005-0000-0000-000057030000}"/>
    <cellStyle name="Hipervínculo 2" xfId="764" xr:uid="{00000000-0005-0000-0000-000058030000}"/>
    <cellStyle name="Hyperlink 2" xfId="1110" xr:uid="{00000000-0005-0000-0000-000059030000}"/>
    <cellStyle name="Hyperlink seguido_apresentação 2ºsem.2001.xls Gráfico 2" xfId="765" xr:uid="{00000000-0005-0000-0000-00005A030000}"/>
    <cellStyle name="Incorrecto" xfId="199" xr:uid="{00000000-0005-0000-0000-00005B030000}"/>
    <cellStyle name="Incorrecto 2" xfId="766" xr:uid="{00000000-0005-0000-0000-00005C030000}"/>
    <cellStyle name="Incorrecto 2 2" xfId="1451" xr:uid="{00000000-0005-0000-0000-00005D030000}"/>
    <cellStyle name="Incorrecto 2 3" xfId="1452" xr:uid="{00000000-0005-0000-0000-00005E030000}"/>
    <cellStyle name="Incorrecto 2 4" xfId="1453" xr:uid="{00000000-0005-0000-0000-00005F030000}"/>
    <cellStyle name="Incorrecto 3" xfId="767" xr:uid="{00000000-0005-0000-0000-000060030000}"/>
    <cellStyle name="Incorrecto 3 2" xfId="1454" xr:uid="{00000000-0005-0000-0000-000061030000}"/>
    <cellStyle name="Incorrecto 4" xfId="1455" xr:uid="{00000000-0005-0000-0000-000062030000}"/>
    <cellStyle name="Indefinido" xfId="768" xr:uid="{00000000-0005-0000-0000-000063030000}"/>
    <cellStyle name="Infor. accio." xfId="1456" xr:uid="{00000000-0005-0000-0000-000064030000}"/>
    <cellStyle name="Input (%)" xfId="769" xr:uid="{00000000-0005-0000-0000-000065030000}"/>
    <cellStyle name="Input (£m)" xfId="770" xr:uid="{00000000-0005-0000-0000-000066030000}"/>
    <cellStyle name="Input (No)" xfId="771" xr:uid="{00000000-0005-0000-0000-000067030000}"/>
    <cellStyle name="Input [yellow]" xfId="42" xr:uid="{00000000-0005-0000-0000-000068030000}"/>
    <cellStyle name="Input [yellow] 2" xfId="103" xr:uid="{00000000-0005-0000-0000-000069030000}"/>
    <cellStyle name="Input [yellow] 2 2" xfId="1457" xr:uid="{00000000-0005-0000-0000-00006A030000}"/>
    <cellStyle name="Input [yellow] 3" xfId="772" xr:uid="{00000000-0005-0000-0000-00006B030000}"/>
    <cellStyle name="Input 2" xfId="117" xr:uid="{00000000-0005-0000-0000-00006C030000}"/>
    <cellStyle name="Input 3" xfId="1458" xr:uid="{00000000-0005-0000-0000-00006D030000}"/>
    <cellStyle name="Input 4" xfId="1459" xr:uid="{00000000-0005-0000-0000-00006E030000}"/>
    <cellStyle name="Input 5" xfId="1460" xr:uid="{00000000-0005-0000-0000-00006F030000}"/>
    <cellStyle name="Input 6" xfId="1461" xr:uid="{00000000-0005-0000-0000-000070030000}"/>
    <cellStyle name="Input 7" xfId="1462" xr:uid="{00000000-0005-0000-0000-000071030000}"/>
    <cellStyle name="Input blu" xfId="773" xr:uid="{00000000-0005-0000-0000-000072030000}"/>
    <cellStyle name="Input Cells" xfId="43" xr:uid="{00000000-0005-0000-0000-000073030000}"/>
    <cellStyle name="Input colorato" xfId="774" xr:uid="{00000000-0005-0000-0000-000074030000}"/>
    <cellStyle name="Input colorato 10" xfId="775" xr:uid="{00000000-0005-0000-0000-000075030000}"/>
    <cellStyle name="Input colorato_Cartel1" xfId="776" xr:uid="{00000000-0005-0000-0000-000076030000}"/>
    <cellStyle name="Input Normal" xfId="777" xr:uid="{00000000-0005-0000-0000-000077030000}"/>
    <cellStyle name="Input Percent" xfId="778" xr:uid="{00000000-0005-0000-0000-000078030000}"/>
    <cellStyle name="Input2" xfId="779" xr:uid="{00000000-0005-0000-0000-000079030000}"/>
    <cellStyle name="INPUTS" xfId="44" xr:uid="{00000000-0005-0000-0000-00007A030000}"/>
    <cellStyle name="INPUTS 2" xfId="1463" xr:uid="{00000000-0005-0000-0000-00007B030000}"/>
    <cellStyle name="ITEM" xfId="780" xr:uid="{00000000-0005-0000-0000-00007C030000}"/>
    <cellStyle name="jpm standard" xfId="45" xr:uid="{00000000-0005-0000-0000-00007D030000}"/>
    <cellStyle name="k3]19G_x001c_㙤ɏ灜$ᜠɏ" xfId="248" xr:uid="{00000000-0005-0000-0000-00007E030000}"/>
    <cellStyle name="kjk" xfId="781" xr:uid="{00000000-0005-0000-0000-00007F030000}"/>
    <cellStyle name="Km" xfId="1464" xr:uid="{00000000-0005-0000-0000-000080030000}"/>
    <cellStyle name="Km0dec" xfId="1465" xr:uid="{00000000-0005-0000-0000-000081030000}"/>
    <cellStyle name="Km2dec" xfId="1466" xr:uid="{00000000-0005-0000-0000-000082030000}"/>
    <cellStyle name="Kmpref2dec" xfId="1467" xr:uid="{00000000-0005-0000-0000-000083030000}"/>
    <cellStyle name="KPMG Heading 1" xfId="46" xr:uid="{00000000-0005-0000-0000-000084030000}"/>
    <cellStyle name="KPMG Heading 2" xfId="47" xr:uid="{00000000-0005-0000-0000-000085030000}"/>
    <cellStyle name="KPMG Heading 3" xfId="48" xr:uid="{00000000-0005-0000-0000-000086030000}"/>
    <cellStyle name="KPMG Heading 4" xfId="49" xr:uid="{00000000-0005-0000-0000-000087030000}"/>
    <cellStyle name="KPMG Normal" xfId="50" xr:uid="{00000000-0005-0000-0000-000088030000}"/>
    <cellStyle name="KPMG Normal Text" xfId="51" xr:uid="{00000000-0005-0000-0000-000089030000}"/>
    <cellStyle name="label" xfId="782" xr:uid="{00000000-0005-0000-0000-00008A030000}"/>
    <cellStyle name="ligne_detail" xfId="783" xr:uid="{00000000-0005-0000-0000-00008B030000}"/>
    <cellStyle name="Line" xfId="784" xr:uid="{00000000-0005-0000-0000-00008C030000}"/>
    <cellStyle name="Link Currency (0)" xfId="785" xr:uid="{00000000-0005-0000-0000-00008D030000}"/>
    <cellStyle name="Link Currency (2)" xfId="786" xr:uid="{00000000-0005-0000-0000-00008E030000}"/>
    <cellStyle name="Link Units (0)" xfId="787" xr:uid="{00000000-0005-0000-0000-00008F030000}"/>
    <cellStyle name="Link Units (1)" xfId="788" xr:uid="{00000000-0005-0000-0000-000090030000}"/>
    <cellStyle name="Link Units (2)" xfId="789" xr:uid="{00000000-0005-0000-0000-000091030000}"/>
    <cellStyle name="Linked Cell 2" xfId="116" xr:uid="{00000000-0005-0000-0000-000092030000}"/>
    <cellStyle name="Linked Cell 3" xfId="1468" xr:uid="{00000000-0005-0000-0000-000093030000}"/>
    <cellStyle name="Linked Cells" xfId="52" xr:uid="{00000000-0005-0000-0000-000094030000}"/>
    <cellStyle name="lista 3" xfId="53" xr:uid="{00000000-0005-0000-0000-000095030000}"/>
    <cellStyle name="ls Chart 393ּ*RM_Montly Report-Noviembre02.xls Chart 162ؔ_x0005_Total" xfId="249" xr:uid="{00000000-0005-0000-0000-000096030000}"/>
    <cellStyle name="MacroCode" xfId="790" xr:uid="{00000000-0005-0000-0000-000097030000}"/>
    <cellStyle name="Main Title Header" xfId="404" xr:uid="{00000000-0005-0000-0000-000098030000}"/>
    <cellStyle name="main_input" xfId="791" xr:uid="{00000000-0005-0000-0000-000099030000}"/>
    <cellStyle name="Migliaia (0)_0601PI" xfId="792" xr:uid="{00000000-0005-0000-0000-00009A030000}"/>
    <cellStyle name="Migliaia [0]_02 Databook Agosto03-10" xfId="793" xr:uid="{00000000-0005-0000-0000-00009B030000}"/>
    <cellStyle name="Migliaia_BALANCE.XLS" xfId="794" xr:uid="{00000000-0005-0000-0000-00009C030000}"/>
    <cellStyle name="Mike" xfId="795" xr:uid="{00000000-0005-0000-0000-00009D030000}"/>
    <cellStyle name="Miliardi" xfId="796" xr:uid="{00000000-0005-0000-0000-00009E030000}"/>
    <cellStyle name="Milla" xfId="797" xr:uid="{00000000-0005-0000-0000-00009F030000}"/>
    <cellStyle name="Millares [0,1]" xfId="54" xr:uid="{00000000-0005-0000-0000-0000A0030000}"/>
    <cellStyle name="Millares [0.0]" xfId="55" xr:uid="{00000000-0005-0000-0000-0000A1030000}"/>
    <cellStyle name="Millares [0.1]" xfId="56" xr:uid="{00000000-0005-0000-0000-0000A2030000}"/>
    <cellStyle name="Millares [0] 2" xfId="798" xr:uid="{00000000-0005-0000-0000-0000A3030000}"/>
    <cellStyle name="Millares [0] 3" xfId="799" xr:uid="{00000000-0005-0000-0000-0000A4030000}"/>
    <cellStyle name="Millares [1]" xfId="57" xr:uid="{00000000-0005-0000-0000-0000A5030000}"/>
    <cellStyle name="Millares [2]" xfId="58" xr:uid="{00000000-0005-0000-0000-0000A6030000}"/>
    <cellStyle name="Millares [3]" xfId="59" xr:uid="{00000000-0005-0000-0000-0000A7030000}"/>
    <cellStyle name="Millares 10" xfId="405" xr:uid="{00000000-0005-0000-0000-0000A8030000}"/>
    <cellStyle name="Millares 11" xfId="406" xr:uid="{00000000-0005-0000-0000-0000A9030000}"/>
    <cellStyle name="Millares 11 2" xfId="1469" xr:uid="{00000000-0005-0000-0000-0000AA030000}"/>
    <cellStyle name="Millares 12" xfId="407" xr:uid="{00000000-0005-0000-0000-0000AB030000}"/>
    <cellStyle name="Millares 13" xfId="408" xr:uid="{00000000-0005-0000-0000-0000AC030000}"/>
    <cellStyle name="Millares 13 2" xfId="453" xr:uid="{00000000-0005-0000-0000-0000AD030000}"/>
    <cellStyle name="Millares 14" xfId="409" xr:uid="{00000000-0005-0000-0000-0000AE030000}"/>
    <cellStyle name="Millares 2" xfId="410" xr:uid="{00000000-0005-0000-0000-0000AF030000}"/>
    <cellStyle name="Millares 2 2" xfId="800" xr:uid="{00000000-0005-0000-0000-0000B0030000}"/>
    <cellStyle name="Millares 2 2 2" xfId="1470" xr:uid="{00000000-0005-0000-0000-0000B1030000}"/>
    <cellStyle name="Millares 2 3" xfId="1471" xr:uid="{00000000-0005-0000-0000-0000B2030000}"/>
    <cellStyle name="Millares 2 4" xfId="1472" xr:uid="{00000000-0005-0000-0000-0000B3030000}"/>
    <cellStyle name="Millares 2 5" xfId="1473" xr:uid="{00000000-0005-0000-0000-0000B4030000}"/>
    <cellStyle name="Millares 2 5 2" xfId="1474" xr:uid="{00000000-0005-0000-0000-0000B5030000}"/>
    <cellStyle name="Millares 2 6" xfId="1475" xr:uid="{00000000-0005-0000-0000-0000B6030000}"/>
    <cellStyle name="Millares 2 DEC" xfId="801" xr:uid="{00000000-0005-0000-0000-0000B7030000}"/>
    <cellStyle name="Millares 3" xfId="411" xr:uid="{00000000-0005-0000-0000-0000B8030000}"/>
    <cellStyle name="Millares 3 2" xfId="454" xr:uid="{00000000-0005-0000-0000-0000B9030000}"/>
    <cellStyle name="Millares 3 3" xfId="802" xr:uid="{00000000-0005-0000-0000-0000BA030000}"/>
    <cellStyle name="Millares 36" xfId="803" xr:uid="{00000000-0005-0000-0000-0000BB030000}"/>
    <cellStyle name="Millares 4" xfId="412" xr:uid="{00000000-0005-0000-0000-0000BC030000}"/>
    <cellStyle name="Millares 4 2" xfId="804" xr:uid="{00000000-0005-0000-0000-0000BD030000}"/>
    <cellStyle name="Millares 5" xfId="413" xr:uid="{00000000-0005-0000-0000-0000BE030000}"/>
    <cellStyle name="Millares 6" xfId="414" xr:uid="{00000000-0005-0000-0000-0000BF030000}"/>
    <cellStyle name="Millares 7" xfId="415" xr:uid="{00000000-0005-0000-0000-0000C0030000}"/>
    <cellStyle name="Millares 8" xfId="416" xr:uid="{00000000-0005-0000-0000-0000C1030000}"/>
    <cellStyle name="Millares 9" xfId="417" xr:uid="{00000000-0005-0000-0000-0000C2030000}"/>
    <cellStyle name="Millares Sangría" xfId="805" xr:uid="{00000000-0005-0000-0000-0000C3030000}"/>
    <cellStyle name="Millares Sangría 1" xfId="806" xr:uid="{00000000-0005-0000-0000-0000C4030000}"/>
    <cellStyle name="Millares(0)" xfId="60" xr:uid="{00000000-0005-0000-0000-0000C5030000}"/>
    <cellStyle name="Millares(1)" xfId="61" xr:uid="{00000000-0005-0000-0000-0000C6030000}"/>
    <cellStyle name="Millares[1]" xfId="62" xr:uid="{00000000-0005-0000-0000-0000C7030000}"/>
    <cellStyle name="Milliers [0]_!!!GO" xfId="63" xr:uid="{00000000-0005-0000-0000-0000C8030000}"/>
    <cellStyle name="Milliers_!!!GO" xfId="64" xr:uid="{00000000-0005-0000-0000-0000C9030000}"/>
    <cellStyle name="Moeda [0]_2000 01 27 - Det Invest Finan" xfId="807" xr:uid="{00000000-0005-0000-0000-0000CA030000}"/>
    <cellStyle name="Moeda_2000 01 27 - Det Invest Finan" xfId="808" xr:uid="{00000000-0005-0000-0000-0000CB030000}"/>
    <cellStyle name="Moneda 2" xfId="1476" xr:uid="{00000000-0005-0000-0000-0000CC030000}"/>
    <cellStyle name="Moneda 2 2" xfId="1477" xr:uid="{00000000-0005-0000-0000-0000CD030000}"/>
    <cellStyle name="Monétaire [0]_!!!GO" xfId="65" xr:uid="{00000000-0005-0000-0000-0000CE030000}"/>
    <cellStyle name="Monétaire_!!!GO" xfId="66" xr:uid="{00000000-0005-0000-0000-0000CF030000}"/>
    <cellStyle name="Monetario" xfId="809" xr:uid="{00000000-0005-0000-0000-0000D0030000}"/>
    <cellStyle name="Monetario 2" xfId="1478" xr:uid="{00000000-0005-0000-0000-0000D1030000}"/>
    <cellStyle name="Monetario0" xfId="810" xr:uid="{00000000-0005-0000-0000-0000D2030000}"/>
    <cellStyle name="Monetario0 2" xfId="1479" xr:uid="{00000000-0005-0000-0000-0000D3030000}"/>
    <cellStyle name="movimentação" xfId="811" xr:uid="{00000000-0005-0000-0000-0000D4030000}"/>
    <cellStyle name="Muliple" xfId="812" xr:uid="{00000000-0005-0000-0000-0000D5030000}"/>
    <cellStyle name="Multiple" xfId="813" xr:uid="{00000000-0005-0000-0000-0000D6030000}"/>
    <cellStyle name="NA is zero" xfId="814" xr:uid="{00000000-0005-0000-0000-0000D7030000}"/>
    <cellStyle name="Negat1dec" xfId="1480" xr:uid="{00000000-0005-0000-0000-0000D8030000}"/>
    <cellStyle name="Neutral 2" xfId="115" xr:uid="{00000000-0005-0000-0000-0000D9030000}"/>
    <cellStyle name="Neutral 2 2" xfId="1481" xr:uid="{00000000-0005-0000-0000-0000DA030000}"/>
    <cellStyle name="Neutral 2 3" xfId="1482" xr:uid="{00000000-0005-0000-0000-0000DB030000}"/>
    <cellStyle name="Neutral 2 4" xfId="1483" xr:uid="{00000000-0005-0000-0000-0000DC030000}"/>
    <cellStyle name="Neutral 3" xfId="815" xr:uid="{00000000-0005-0000-0000-0000DD030000}"/>
    <cellStyle name="Neutral 3 2" xfId="1484" xr:uid="{00000000-0005-0000-0000-0000DE030000}"/>
    <cellStyle name="Neutral 4" xfId="1485" xr:uid="{00000000-0005-0000-0000-0000DF030000}"/>
    <cellStyle name="Neutral 5" xfId="1486" xr:uid="{00000000-0005-0000-0000-0000E0030000}"/>
    <cellStyle name="Neutral 6" xfId="1487" xr:uid="{00000000-0005-0000-0000-0000E1030000}"/>
    <cellStyle name="Next holiday" xfId="816" xr:uid="{00000000-0005-0000-0000-0000E2030000}"/>
    <cellStyle name="no dec" xfId="817" xr:uid="{00000000-0005-0000-0000-0000E3030000}"/>
    <cellStyle name="No-definido" xfId="818" xr:uid="{00000000-0005-0000-0000-0000E4030000}"/>
    <cellStyle name="Non_definito" xfId="819" xr:uid="{00000000-0005-0000-0000-0000E5030000}"/>
    <cellStyle name="Normal" xfId="0" builtinId="0"/>
    <cellStyle name="Normal - Style1" xfId="67" xr:uid="{00000000-0005-0000-0000-0000E7030000}"/>
    <cellStyle name="Normal - Style1 2" xfId="820" xr:uid="{00000000-0005-0000-0000-0000E8030000}"/>
    <cellStyle name="Normal - Style1 3" xfId="1488" xr:uid="{00000000-0005-0000-0000-0000E9030000}"/>
    <cellStyle name="Normal - Style1 4" xfId="250" xr:uid="{00000000-0005-0000-0000-0000EA030000}"/>
    <cellStyle name="Normal - Style1_Cuadros paraPresentación de Sindicado de Palmas del Espino (V 05 12 08)}" xfId="821" xr:uid="{00000000-0005-0000-0000-0000EB030000}"/>
    <cellStyle name="Normal (%)" xfId="68" xr:uid="{00000000-0005-0000-0000-0000EC030000}"/>
    <cellStyle name="Normal (%) 2" xfId="822" xr:uid="{00000000-0005-0000-0000-0000ED030000}"/>
    <cellStyle name="Normal (%)_Cuadros paraPresentación de Sindicado de Palmas del Espino (V 05 12 08)}" xfId="823" xr:uid="{00000000-0005-0000-0000-0000EE030000}"/>
    <cellStyle name="Normal (£m)" xfId="69" xr:uid="{00000000-0005-0000-0000-0000EF030000}"/>
    <cellStyle name="Normal (£m) 2" xfId="824" xr:uid="{00000000-0005-0000-0000-0000F0030000}"/>
    <cellStyle name="Normal (No)" xfId="825" xr:uid="{00000000-0005-0000-0000-0000F1030000}"/>
    <cellStyle name="Normal (x)" xfId="70" xr:uid="{00000000-0005-0000-0000-0000F2030000}"/>
    <cellStyle name="Normal (x) 2" xfId="826" xr:uid="{00000000-0005-0000-0000-0000F3030000}"/>
    <cellStyle name="Normal (x)_Cuadros paraPresentación de Sindicado de Palmas del Espino (V 05 12 08)}" xfId="827" xr:uid="{00000000-0005-0000-0000-0000F4030000}"/>
    <cellStyle name="Normal [0]" xfId="828" xr:uid="{00000000-0005-0000-0000-0000F5030000}"/>
    <cellStyle name="Normal [1]" xfId="829" xr:uid="{00000000-0005-0000-0000-0000F6030000}"/>
    <cellStyle name="Normal [2]" xfId="830" xr:uid="{00000000-0005-0000-0000-0000F7030000}"/>
    <cellStyle name="Normal [3]" xfId="831" xr:uid="{00000000-0005-0000-0000-0000F8030000}"/>
    <cellStyle name="Normal 10" xfId="324" xr:uid="{00000000-0005-0000-0000-0000F9030000}"/>
    <cellStyle name="Normal 10 2" xfId="1489" xr:uid="{00000000-0005-0000-0000-0000FA030000}"/>
    <cellStyle name="Normal 10 2 2" xfId="1490" xr:uid="{00000000-0005-0000-0000-0000FB030000}"/>
    <cellStyle name="Normal 11" xfId="330" xr:uid="{00000000-0005-0000-0000-0000FC030000}"/>
    <cellStyle name="Normal 12" xfId="332" xr:uid="{00000000-0005-0000-0000-0000FD030000}"/>
    <cellStyle name="Normal 13" xfId="334" xr:uid="{00000000-0005-0000-0000-0000FE030000}"/>
    <cellStyle name="Normal 14" xfId="335" xr:uid="{00000000-0005-0000-0000-0000FF030000}"/>
    <cellStyle name="Normal 14 2" xfId="1491" xr:uid="{00000000-0005-0000-0000-000000040000}"/>
    <cellStyle name="Normal 15" xfId="328" xr:uid="{00000000-0005-0000-0000-000001040000}"/>
    <cellStyle name="Normal 16" xfId="337" xr:uid="{00000000-0005-0000-0000-000002040000}"/>
    <cellStyle name="Normal 17" xfId="339" xr:uid="{00000000-0005-0000-0000-000003040000}"/>
    <cellStyle name="Normal 18" xfId="379" xr:uid="{00000000-0005-0000-0000-000004040000}"/>
    <cellStyle name="Normal 19" xfId="382" xr:uid="{00000000-0005-0000-0000-000005040000}"/>
    <cellStyle name="Normal 19 2" xfId="1492" xr:uid="{00000000-0005-0000-0000-000006040000}"/>
    <cellStyle name="Normal 19 3" xfId="1493" xr:uid="{00000000-0005-0000-0000-000007040000}"/>
    <cellStyle name="Normal 2" xfId="71" xr:uid="{00000000-0005-0000-0000-000008040000}"/>
    <cellStyle name="Normal 2 2" xfId="268" xr:uid="{00000000-0005-0000-0000-000009040000}"/>
    <cellStyle name="Normal 2 2 2" xfId="396" xr:uid="{00000000-0005-0000-0000-00000A040000}"/>
    <cellStyle name="Normal 2 2 3" xfId="448" xr:uid="{00000000-0005-0000-0000-00000B040000}"/>
    <cellStyle name="Normal 2 3" xfId="341" xr:uid="{00000000-0005-0000-0000-00000C040000}"/>
    <cellStyle name="Normal 2 3 2" xfId="400" xr:uid="{00000000-0005-0000-0000-00000D040000}"/>
    <cellStyle name="Normal 2 4" xfId="401" xr:uid="{00000000-0005-0000-0000-00000E040000}"/>
    <cellStyle name="Normal 2 5" xfId="394" xr:uid="{00000000-0005-0000-0000-00000F040000}"/>
    <cellStyle name="Normal 2_Peru LNG Updated Model 06.18.09 (BCP v1)" xfId="832" xr:uid="{00000000-0005-0000-0000-000010040000}"/>
    <cellStyle name="Normal 20" xfId="384" xr:uid="{00000000-0005-0000-0000-000011040000}"/>
    <cellStyle name="Normal 21" xfId="386" xr:uid="{00000000-0005-0000-0000-000012040000}"/>
    <cellStyle name="Normal 22" xfId="388" xr:uid="{00000000-0005-0000-0000-000013040000}"/>
    <cellStyle name="Normal 23" xfId="390" xr:uid="{00000000-0005-0000-0000-000014040000}"/>
    <cellStyle name="Normal 23 2" xfId="1494" xr:uid="{00000000-0005-0000-0000-000015040000}"/>
    <cellStyle name="Normal 24" xfId="392" xr:uid="{00000000-0005-0000-0000-000016040000}"/>
    <cellStyle name="Normal 24 2" xfId="1495" xr:uid="{00000000-0005-0000-0000-000017040000}"/>
    <cellStyle name="Normal 25" xfId="393" xr:uid="{00000000-0005-0000-0000-000018040000}"/>
    <cellStyle name="Normal 25 2" xfId="1496" xr:uid="{00000000-0005-0000-0000-000019040000}"/>
    <cellStyle name="Normal 26" xfId="398" xr:uid="{00000000-0005-0000-0000-00001A040000}"/>
    <cellStyle name="Normal 26 2" xfId="1497" xr:uid="{00000000-0005-0000-0000-00001B040000}"/>
    <cellStyle name="Normal 27" xfId="431" xr:uid="{00000000-0005-0000-0000-00001C040000}"/>
    <cellStyle name="Normal 28" xfId="428" xr:uid="{00000000-0005-0000-0000-00001D040000}"/>
    <cellStyle name="Normal 29" xfId="426" xr:uid="{00000000-0005-0000-0000-00001E040000}"/>
    <cellStyle name="Normal 3" xfId="96" xr:uid="{00000000-0005-0000-0000-00001F040000}"/>
    <cellStyle name="Normal 3 2" xfId="113" xr:uid="{00000000-0005-0000-0000-000020040000}"/>
    <cellStyle name="Normal 3 3" xfId="418" xr:uid="{00000000-0005-0000-0000-000021040000}"/>
    <cellStyle name="Normal 3 4" xfId="1498" xr:uid="{00000000-0005-0000-0000-000022040000}"/>
    <cellStyle name="Normal 3 5" xfId="114" xr:uid="{00000000-0005-0000-0000-000023040000}"/>
    <cellStyle name="Normal 3 6" xfId="1645" xr:uid="{00000000-0005-0000-0000-000024040000}"/>
    <cellStyle name="Normal 30" xfId="436" xr:uid="{00000000-0005-0000-0000-000025040000}"/>
    <cellStyle name="Normal 30 2" xfId="1499" xr:uid="{00000000-0005-0000-0000-000026040000}"/>
    <cellStyle name="Normal 30 2 2" xfId="1500" xr:uid="{00000000-0005-0000-0000-000027040000}"/>
    <cellStyle name="Normal 30 3" xfId="1501" xr:uid="{00000000-0005-0000-0000-000028040000}"/>
    <cellStyle name="Normal 31" xfId="438" xr:uid="{00000000-0005-0000-0000-000029040000}"/>
    <cellStyle name="Normal 31 2" xfId="1502" xr:uid="{00000000-0005-0000-0000-00002A040000}"/>
    <cellStyle name="Normal 32" xfId="196" xr:uid="{00000000-0005-0000-0000-00002B040000}"/>
    <cellStyle name="Normal 32 2" xfId="1503" xr:uid="{00000000-0005-0000-0000-00002C040000}"/>
    <cellStyle name="Normal 33" xfId="443" xr:uid="{00000000-0005-0000-0000-00002D040000}"/>
    <cellStyle name="Normal 33 2" xfId="1504" xr:uid="{00000000-0005-0000-0000-00002E040000}"/>
    <cellStyle name="Normal 34" xfId="447" xr:uid="{00000000-0005-0000-0000-00002F040000}"/>
    <cellStyle name="Normal 34 2" xfId="1505" xr:uid="{00000000-0005-0000-0000-000030040000}"/>
    <cellStyle name="Normal 35" xfId="444" xr:uid="{00000000-0005-0000-0000-000031040000}"/>
    <cellStyle name="Normal 35 2" xfId="1506" xr:uid="{00000000-0005-0000-0000-000032040000}"/>
    <cellStyle name="Normal 36" xfId="1507" xr:uid="{00000000-0005-0000-0000-000033040000}"/>
    <cellStyle name="Normal 36 2" xfId="1508" xr:uid="{00000000-0005-0000-0000-000034040000}"/>
    <cellStyle name="Normal 37" xfId="1509" xr:uid="{00000000-0005-0000-0000-000035040000}"/>
    <cellStyle name="Normal 37 2" xfId="1510" xr:uid="{00000000-0005-0000-0000-000036040000}"/>
    <cellStyle name="Normal 38" xfId="1511" xr:uid="{00000000-0005-0000-0000-000037040000}"/>
    <cellStyle name="Normal 39" xfId="1512" xr:uid="{00000000-0005-0000-0000-000038040000}"/>
    <cellStyle name="Normal 4" xfId="1" xr:uid="{00000000-0005-0000-0000-000039040000}"/>
    <cellStyle name="Normal 4 2" xfId="419" xr:uid="{00000000-0005-0000-0000-00003A040000}"/>
    <cellStyle name="Normal 4 3" xfId="1109" xr:uid="{00000000-0005-0000-0000-00003B040000}"/>
    <cellStyle name="Normal 4 4" xfId="1513" xr:uid="{00000000-0005-0000-0000-00003C040000}"/>
    <cellStyle name="Normal 4 5" xfId="198" xr:uid="{00000000-0005-0000-0000-00003D040000}"/>
    <cellStyle name="Normal 40" xfId="1514" xr:uid="{00000000-0005-0000-0000-00003E040000}"/>
    <cellStyle name="Normal 41" xfId="1515" xr:uid="{00000000-0005-0000-0000-00003F040000}"/>
    <cellStyle name="Normal 42" xfId="1516" xr:uid="{00000000-0005-0000-0000-000040040000}"/>
    <cellStyle name="Normal 43" xfId="1517" xr:uid="{00000000-0005-0000-0000-000041040000}"/>
    <cellStyle name="Normal 44" xfId="1518" xr:uid="{00000000-0005-0000-0000-000042040000}"/>
    <cellStyle name="Normal 45" xfId="1519" xr:uid="{00000000-0005-0000-0000-000043040000}"/>
    <cellStyle name="Normal 46" xfId="1520" xr:uid="{00000000-0005-0000-0000-000044040000}"/>
    <cellStyle name="Normal 47" xfId="1521" xr:uid="{00000000-0005-0000-0000-000045040000}"/>
    <cellStyle name="Normal 48" xfId="1655" xr:uid="{00000000-0005-0000-0000-000046040000}"/>
    <cellStyle name="Normal 5" xfId="105" xr:uid="{00000000-0005-0000-0000-000047040000}"/>
    <cellStyle name="Normal 5 2" xfId="423" xr:uid="{00000000-0005-0000-0000-000048040000}"/>
    <cellStyle name="Normal 5 2 2" xfId="1660" xr:uid="{00000000-0005-0000-0000-000049040000}"/>
    <cellStyle name="Normal 5 3" xfId="422" xr:uid="{00000000-0005-0000-0000-00004A040000}"/>
    <cellStyle name="Normal 5 4" xfId="262" xr:uid="{00000000-0005-0000-0000-00004B040000}"/>
    <cellStyle name="Normal 6" xfId="263" xr:uid="{00000000-0005-0000-0000-00004C040000}"/>
    <cellStyle name="Normal 6 2" xfId="833" xr:uid="{00000000-0005-0000-0000-00004D040000}"/>
    <cellStyle name="Normal 6 3" xfId="834" xr:uid="{00000000-0005-0000-0000-00004E040000}"/>
    <cellStyle name="Normal 7" xfId="264" xr:uid="{00000000-0005-0000-0000-00004F040000}"/>
    <cellStyle name="Normal 7 2" xfId="835" xr:uid="{00000000-0005-0000-0000-000050040000}"/>
    <cellStyle name="Normal 8" xfId="265" xr:uid="{00000000-0005-0000-0000-000051040000}"/>
    <cellStyle name="Normal 8 2" xfId="836" xr:uid="{00000000-0005-0000-0000-000052040000}"/>
    <cellStyle name="Normal 9" xfId="266" xr:uid="{00000000-0005-0000-0000-000053040000}"/>
    <cellStyle name="Normal 9 2" xfId="1522" xr:uid="{00000000-0005-0000-0000-000054040000}"/>
    <cellStyle name="Normal Bold" xfId="837" xr:uid="{00000000-0005-0000-0000-000055040000}"/>
    <cellStyle name="Normal Pct" xfId="838" xr:uid="{00000000-0005-0000-0000-000056040000}"/>
    <cellStyle name="Normal U" xfId="839" xr:uid="{00000000-0005-0000-0000-000057040000}"/>
    <cellStyle name="Normal U 2" xfId="1652" xr:uid="{00000000-0005-0000-0000-000058040000}"/>
    <cellStyle name="Normal_2008.04.xx_Frucor_Overview_Tables_&amp;_Graphs_v02" xfId="1659" xr:uid="{00000000-0005-0000-0000-000059040000}"/>
    <cellStyle name="Normal1" xfId="1523" xr:uid="{00000000-0005-0000-0000-00005A040000}"/>
    <cellStyle name="Normal2" xfId="1524" xr:uid="{00000000-0005-0000-0000-00005B040000}"/>
    <cellStyle name="Normale lib." xfId="840" xr:uid="{00000000-0005-0000-0000-00005C040000}"/>
    <cellStyle name="Normale_ cellular Costs" xfId="841" xr:uid="{00000000-0005-0000-0000-00005D040000}"/>
    <cellStyle name="NormalMultiple" xfId="842" xr:uid="{00000000-0005-0000-0000-00005E040000}"/>
    <cellStyle name="normální_laroux" xfId="843" xr:uid="{00000000-0005-0000-0000-00005F040000}"/>
    <cellStyle name="NormalX" xfId="844" xr:uid="{00000000-0005-0000-0000-000060040000}"/>
    <cellStyle name="Notas" xfId="112" xr:uid="{00000000-0005-0000-0000-000061040000}"/>
    <cellStyle name="Notas 2" xfId="251" xr:uid="{00000000-0005-0000-0000-000062040000}"/>
    <cellStyle name="Notas 2 2" xfId="845" xr:uid="{00000000-0005-0000-0000-000063040000}"/>
    <cellStyle name="Notas 2 3" xfId="1525" xr:uid="{00000000-0005-0000-0000-000064040000}"/>
    <cellStyle name="Notas 2 4" xfId="1526" xr:uid="{00000000-0005-0000-0000-000065040000}"/>
    <cellStyle name="Notas 3" xfId="846" xr:uid="{00000000-0005-0000-0000-000066040000}"/>
    <cellStyle name="Notas 3 2" xfId="847" xr:uid="{00000000-0005-0000-0000-000067040000}"/>
    <cellStyle name="Notas 4" xfId="848" xr:uid="{00000000-0005-0000-0000-000068040000}"/>
    <cellStyle name="Notas 5" xfId="849" xr:uid="{00000000-0005-0000-0000-000069040000}"/>
    <cellStyle name="Notas 6" xfId="850" xr:uid="{00000000-0005-0000-0000-00006A040000}"/>
    <cellStyle name="Note 2" xfId="111" xr:uid="{00000000-0005-0000-0000-00006B040000}"/>
    <cellStyle name="Note 3" xfId="1527" xr:uid="{00000000-0005-0000-0000-00006C040000}"/>
    <cellStyle name="NPPESalesPct" xfId="851" xr:uid="{00000000-0005-0000-0000-00006D040000}"/>
    <cellStyle name="Number" xfId="1663" xr:uid="{00000000-0005-0000-0000-00006E040000}"/>
    <cellStyle name="Number Bold" xfId="72" xr:uid="{00000000-0005-0000-0000-00006F040000}"/>
    <cellStyle name="Number Bold 2" xfId="852" xr:uid="{00000000-0005-0000-0000-000070040000}"/>
    <cellStyle name="Number Normal" xfId="73" xr:uid="{00000000-0005-0000-0000-000071040000}"/>
    <cellStyle name="Number Normal 2" xfId="853" xr:uid="{00000000-0005-0000-0000-000072040000}"/>
    <cellStyle name="NWI%S" xfId="854" xr:uid="{00000000-0005-0000-0000-000073040000}"/>
    <cellStyle name="Œ…‹æØ‚è [0.00]_!!!GO" xfId="74" xr:uid="{00000000-0005-0000-0000-000074040000}"/>
    <cellStyle name="Œ…‹æØ‚è_!!!GO" xfId="75" xr:uid="{00000000-0005-0000-0000-000075040000}"/>
    <cellStyle name="Option" xfId="855" xr:uid="{00000000-0005-0000-0000-000076040000}"/>
    <cellStyle name="Original" xfId="856" xr:uid="{00000000-0005-0000-0000-000077040000}"/>
    <cellStyle name="Output 2" xfId="110" xr:uid="{00000000-0005-0000-0000-000078040000}"/>
    <cellStyle name="Output 3" xfId="1528" xr:uid="{00000000-0005-0000-0000-000079040000}"/>
    <cellStyle name="Output 4" xfId="1529" xr:uid="{00000000-0005-0000-0000-00007A040000}"/>
    <cellStyle name="Output Amounts" xfId="857" xr:uid="{00000000-0005-0000-0000-00007B040000}"/>
    <cellStyle name="Output colorato" xfId="858" xr:uid="{00000000-0005-0000-0000-00007C040000}"/>
    <cellStyle name="Output Column Headings" xfId="859" xr:uid="{00000000-0005-0000-0000-00007D040000}"/>
    <cellStyle name="Output Line Items" xfId="860" xr:uid="{00000000-0005-0000-0000-00007E040000}"/>
    <cellStyle name="Output Report Heading" xfId="861" xr:uid="{00000000-0005-0000-0000-00007F040000}"/>
    <cellStyle name="Output Report Title" xfId="862" xr:uid="{00000000-0005-0000-0000-000080040000}"/>
    <cellStyle name="Overskrift" xfId="863" xr:uid="{00000000-0005-0000-0000-000081040000}"/>
    <cellStyle name="page" xfId="1530" xr:uid="{00000000-0005-0000-0000-000082040000}"/>
    <cellStyle name="page 2" xfId="1531" xr:uid="{00000000-0005-0000-0000-000083040000}"/>
    <cellStyle name="Page Number" xfId="864" xr:uid="{00000000-0005-0000-0000-000084040000}"/>
    <cellStyle name="page_Base Case  FM Inputs " xfId="1532" xr:uid="{00000000-0005-0000-0000-000085040000}"/>
    <cellStyle name="per.style" xfId="76" xr:uid="{00000000-0005-0000-0000-000086040000}"/>
    <cellStyle name="Percen - Estilo2" xfId="865" xr:uid="{00000000-0005-0000-0000-000087040000}"/>
    <cellStyle name="Percent (0)" xfId="78" xr:uid="{00000000-0005-0000-0000-000088040000}"/>
    <cellStyle name="Percent [0]" xfId="866" xr:uid="{00000000-0005-0000-0000-000089040000}"/>
    <cellStyle name="Percent [0] U" xfId="867" xr:uid="{00000000-0005-0000-0000-00008A040000}"/>
    <cellStyle name="Percent [0] U 2" xfId="1653" xr:uid="{00000000-0005-0000-0000-00008B040000}"/>
    <cellStyle name="Percent [0]_Banco Falabella Versión Preliminar" xfId="868" xr:uid="{00000000-0005-0000-0000-00008C040000}"/>
    <cellStyle name="Percent [00]" xfId="869" xr:uid="{00000000-0005-0000-0000-00008D040000}"/>
    <cellStyle name="Percent [1]" xfId="870" xr:uid="{00000000-0005-0000-0000-00008E040000}"/>
    <cellStyle name="Percent [2]" xfId="79" xr:uid="{00000000-0005-0000-0000-00008F040000}"/>
    <cellStyle name="Percent [2] 2" xfId="871" xr:uid="{00000000-0005-0000-0000-000090040000}"/>
    <cellStyle name="Percent [2] U" xfId="872" xr:uid="{00000000-0005-0000-0000-000091040000}"/>
    <cellStyle name="Percent [2] U 2" xfId="1654" xr:uid="{00000000-0005-0000-0000-000092040000}"/>
    <cellStyle name="Percent [2]_040805 HLH joint financial model v0.3j" xfId="873" xr:uid="{00000000-0005-0000-0000-000093040000}"/>
    <cellStyle name="Percent 10" xfId="1533" xr:uid="{00000000-0005-0000-0000-000094040000}"/>
    <cellStyle name="Percent 11" xfId="1534" xr:uid="{00000000-0005-0000-0000-000095040000}"/>
    <cellStyle name="Percent 12" xfId="1535" xr:uid="{00000000-0005-0000-0000-000096040000}"/>
    <cellStyle name="Percent 13" xfId="1536" xr:uid="{00000000-0005-0000-0000-000097040000}"/>
    <cellStyle name="Percent 14" xfId="1537" xr:uid="{00000000-0005-0000-0000-000098040000}"/>
    <cellStyle name="Percent 15" xfId="1538" xr:uid="{00000000-0005-0000-0000-000099040000}"/>
    <cellStyle name="Percent 16" xfId="1539" xr:uid="{00000000-0005-0000-0000-00009A040000}"/>
    <cellStyle name="Percent 17" xfId="1540" xr:uid="{00000000-0005-0000-0000-00009B040000}"/>
    <cellStyle name="Percent 18" xfId="1541" xr:uid="{00000000-0005-0000-0000-00009C040000}"/>
    <cellStyle name="Percent 19" xfId="1542" xr:uid="{00000000-0005-0000-0000-00009D040000}"/>
    <cellStyle name="Percent 2" xfId="77" xr:uid="{00000000-0005-0000-0000-00009E040000}"/>
    <cellStyle name="Percent 2 2" xfId="1543" xr:uid="{00000000-0005-0000-0000-00009F040000}"/>
    <cellStyle name="Percent 2 3" xfId="1544" xr:uid="{00000000-0005-0000-0000-0000A0040000}"/>
    <cellStyle name="Percent 2 4" xfId="1545" xr:uid="{00000000-0005-0000-0000-0000A1040000}"/>
    <cellStyle name="Percent 20" xfId="1546" xr:uid="{00000000-0005-0000-0000-0000A2040000}"/>
    <cellStyle name="Percent 21" xfId="1547" xr:uid="{00000000-0005-0000-0000-0000A3040000}"/>
    <cellStyle name="Percent 22" xfId="1548" xr:uid="{00000000-0005-0000-0000-0000A4040000}"/>
    <cellStyle name="Percent 23" xfId="1549" xr:uid="{00000000-0005-0000-0000-0000A5040000}"/>
    <cellStyle name="Percent 24" xfId="1550" xr:uid="{00000000-0005-0000-0000-0000A6040000}"/>
    <cellStyle name="Percent 25" xfId="1551" xr:uid="{00000000-0005-0000-0000-0000A7040000}"/>
    <cellStyle name="Percent 26" xfId="1552" xr:uid="{00000000-0005-0000-0000-0000A8040000}"/>
    <cellStyle name="Percent 27" xfId="1553" xr:uid="{00000000-0005-0000-0000-0000A9040000}"/>
    <cellStyle name="Percent 28" xfId="1554" xr:uid="{00000000-0005-0000-0000-0000AA040000}"/>
    <cellStyle name="Percent 29" xfId="1555" xr:uid="{00000000-0005-0000-0000-0000AB040000}"/>
    <cellStyle name="Percent 3" xfId="182" xr:uid="{00000000-0005-0000-0000-0000AC040000}"/>
    <cellStyle name="Percent 3 2" xfId="327" xr:uid="{00000000-0005-0000-0000-0000AD040000}"/>
    <cellStyle name="Percent 30" xfId="1556" xr:uid="{00000000-0005-0000-0000-0000AE040000}"/>
    <cellStyle name="Percent 31" xfId="1557" xr:uid="{00000000-0005-0000-0000-0000AF040000}"/>
    <cellStyle name="Percent 32" xfId="1558" xr:uid="{00000000-0005-0000-0000-0000B0040000}"/>
    <cellStyle name="Percent 33" xfId="1559" xr:uid="{00000000-0005-0000-0000-0000B1040000}"/>
    <cellStyle name="Percent 34" xfId="1560" xr:uid="{00000000-0005-0000-0000-0000B2040000}"/>
    <cellStyle name="Percent 35" xfId="1656" xr:uid="{00000000-0005-0000-0000-0000B3040000}"/>
    <cellStyle name="Percent 4" xfId="109" xr:uid="{00000000-0005-0000-0000-0000B4040000}"/>
    <cellStyle name="Percent 4 2" xfId="1561" xr:uid="{00000000-0005-0000-0000-0000B5040000}"/>
    <cellStyle name="Percent 5" xfId="874" xr:uid="{00000000-0005-0000-0000-0000B6040000}"/>
    <cellStyle name="Percent 6" xfId="875" xr:uid="{00000000-0005-0000-0000-0000B7040000}"/>
    <cellStyle name="Percent 7" xfId="1562" xr:uid="{00000000-0005-0000-0000-0000B8040000}"/>
    <cellStyle name="Percent 8" xfId="1563" xr:uid="{00000000-0005-0000-0000-0000B9040000}"/>
    <cellStyle name="Percent 9" xfId="1564" xr:uid="{00000000-0005-0000-0000-0000BA040000}"/>
    <cellStyle name="Percent Comma" xfId="876" xr:uid="{00000000-0005-0000-0000-0000BB040000}"/>
    <cellStyle name="Percent(0)" xfId="80" xr:uid="{00000000-0005-0000-0000-0000BC040000}"/>
    <cellStyle name="Percentage" xfId="877" xr:uid="{00000000-0005-0000-0000-0000BD040000}"/>
    <cellStyle name="PercentSales" xfId="878" xr:uid="{00000000-0005-0000-0000-0000BE040000}"/>
    <cellStyle name="Percentual" xfId="879" xr:uid="{00000000-0005-0000-0000-0000BF040000}"/>
    <cellStyle name="PillarData" xfId="880" xr:uid="{00000000-0005-0000-0000-0000C0040000}"/>
    <cellStyle name="PillarHeading" xfId="881" xr:uid="{00000000-0005-0000-0000-0000C1040000}"/>
    <cellStyle name="PillarText" xfId="882" xr:uid="{00000000-0005-0000-0000-0000C2040000}"/>
    <cellStyle name="PillarTotal" xfId="883" xr:uid="{00000000-0005-0000-0000-0000C3040000}"/>
    <cellStyle name="Platas" xfId="884" xr:uid="{00000000-0005-0000-0000-0000C4040000}"/>
    <cellStyle name="Platas 2" xfId="1565" xr:uid="{00000000-0005-0000-0000-0000C5040000}"/>
    <cellStyle name="Ponto" xfId="885" xr:uid="{00000000-0005-0000-0000-0000C6040000}"/>
    <cellStyle name="Porcentagem_Backup de orçamento6+6-oficial revisado 21.7.99 - 2" xfId="886" xr:uid="{00000000-0005-0000-0000-0000C7040000}"/>
    <cellStyle name="Porcentaje" xfId="887" xr:uid="{00000000-0005-0000-0000-0000C8040000}"/>
    <cellStyle name="Porcentaje 2" xfId="1566" xr:uid="{00000000-0005-0000-0000-0000C9040000}"/>
    <cellStyle name="Porcentual 2" xfId="888" xr:uid="{00000000-0005-0000-0000-0000CA040000}"/>
    <cellStyle name="Porcentual 2 2" xfId="889" xr:uid="{00000000-0005-0000-0000-0000CB040000}"/>
    <cellStyle name="Porcentual 2 2 2" xfId="1567" xr:uid="{00000000-0005-0000-0000-0000CC040000}"/>
    <cellStyle name="Porcentual 2 2 3" xfId="1568" xr:uid="{00000000-0005-0000-0000-0000CD040000}"/>
    <cellStyle name="Porcentual 2 2 4" xfId="1569" xr:uid="{00000000-0005-0000-0000-0000CE040000}"/>
    <cellStyle name="Porcentual 2 2 5" xfId="1570" xr:uid="{00000000-0005-0000-0000-0000CF040000}"/>
    <cellStyle name="Porcentual 2 3" xfId="452" xr:uid="{00000000-0005-0000-0000-0000D0040000}"/>
    <cellStyle name="Porcentual 2 4" xfId="1571" xr:uid="{00000000-0005-0000-0000-0000D1040000}"/>
    <cellStyle name="Porcentual 2 5" xfId="1572" xr:uid="{00000000-0005-0000-0000-0000D2040000}"/>
    <cellStyle name="Porcentual 2 6" xfId="1573" xr:uid="{00000000-0005-0000-0000-0000D3040000}"/>
    <cellStyle name="Porcentual 2 7" xfId="1574" xr:uid="{00000000-0005-0000-0000-0000D4040000}"/>
    <cellStyle name="Porcentual 3" xfId="890" xr:uid="{00000000-0005-0000-0000-0000D5040000}"/>
    <cellStyle name="Porcentual 3 2" xfId="891" xr:uid="{00000000-0005-0000-0000-0000D6040000}"/>
    <cellStyle name="Porcentual 3 2 2" xfId="1575" xr:uid="{00000000-0005-0000-0000-0000D7040000}"/>
    <cellStyle name="Porcentual 3 3" xfId="1576" xr:uid="{00000000-0005-0000-0000-0000D8040000}"/>
    <cellStyle name="Porcentual 31" xfId="892" xr:uid="{00000000-0005-0000-0000-0000D9040000}"/>
    <cellStyle name="Porcentual 4" xfId="893" xr:uid="{00000000-0005-0000-0000-0000DA040000}"/>
    <cellStyle name="Porcentual 5" xfId="451" xr:uid="{00000000-0005-0000-0000-0000DB040000}"/>
    <cellStyle name="Posit1dec" xfId="1577" xr:uid="{00000000-0005-0000-0000-0000DC040000}"/>
    <cellStyle name="PrePop Currency (0)" xfId="894" xr:uid="{00000000-0005-0000-0000-0000DD040000}"/>
    <cellStyle name="PrePop Currency (2)" xfId="895" xr:uid="{00000000-0005-0000-0000-0000DE040000}"/>
    <cellStyle name="PrePop Units (0)" xfId="896" xr:uid="{00000000-0005-0000-0000-0000DF040000}"/>
    <cellStyle name="PrePop Units (1)" xfId="897" xr:uid="{00000000-0005-0000-0000-0000E0040000}"/>
    <cellStyle name="PrePop Units (2)" xfId="898" xr:uid="{00000000-0005-0000-0000-0000E1040000}"/>
    <cellStyle name="pricing" xfId="81" xr:uid="{00000000-0005-0000-0000-0000E2040000}"/>
    <cellStyle name="pricing 2" xfId="899" xr:uid="{00000000-0005-0000-0000-0000E3040000}"/>
    <cellStyle name="producto" xfId="1578" xr:uid="{00000000-0005-0000-0000-0000E4040000}"/>
    <cellStyle name="PSChar" xfId="82" xr:uid="{00000000-0005-0000-0000-0000E5040000}"/>
    <cellStyle name="PSDate" xfId="900" xr:uid="{00000000-0005-0000-0000-0000E6040000}"/>
    <cellStyle name="PSDec" xfId="901" xr:uid="{00000000-0005-0000-0000-0000E7040000}"/>
    <cellStyle name="PSHeading" xfId="902" xr:uid="{00000000-0005-0000-0000-0000E8040000}"/>
    <cellStyle name="PSInt" xfId="903" xr:uid="{00000000-0005-0000-0000-0000E9040000}"/>
    <cellStyle name="PSSpacer" xfId="904" xr:uid="{00000000-0005-0000-0000-0000EA040000}"/>
    <cellStyle name="Punto" xfId="905" xr:uid="{00000000-0005-0000-0000-0000EB040000}"/>
    <cellStyle name="Punto0" xfId="906" xr:uid="{00000000-0005-0000-0000-0000EC040000}"/>
    <cellStyle name="Punto0 - Modelo2" xfId="907" xr:uid="{00000000-0005-0000-0000-0000ED040000}"/>
    <cellStyle name="Punto0 2" xfId="1579" xr:uid="{00000000-0005-0000-0000-0000EE040000}"/>
    <cellStyle name="Punto0_$_ENT_p98" xfId="908" xr:uid="{00000000-0005-0000-0000-0000EF040000}"/>
    <cellStyle name="Punto1 - Modelo1" xfId="909" xr:uid="{00000000-0005-0000-0000-0000F0040000}"/>
    <cellStyle name="R00A" xfId="910" xr:uid="{00000000-0005-0000-0000-0000F1040000}"/>
    <cellStyle name="R00B" xfId="911" xr:uid="{00000000-0005-0000-0000-0000F2040000}"/>
    <cellStyle name="R00L" xfId="912" xr:uid="{00000000-0005-0000-0000-0000F3040000}"/>
    <cellStyle name="R01A" xfId="913" xr:uid="{00000000-0005-0000-0000-0000F4040000}"/>
    <cellStyle name="R01B" xfId="914" xr:uid="{00000000-0005-0000-0000-0000F5040000}"/>
    <cellStyle name="R01B 2" xfId="1580" xr:uid="{00000000-0005-0000-0000-0000F6040000}"/>
    <cellStyle name="R01H" xfId="915" xr:uid="{00000000-0005-0000-0000-0000F7040000}"/>
    <cellStyle name="R01L" xfId="916" xr:uid="{00000000-0005-0000-0000-0000F8040000}"/>
    <cellStyle name="R02A" xfId="917" xr:uid="{00000000-0005-0000-0000-0000F9040000}"/>
    <cellStyle name="R02B" xfId="918" xr:uid="{00000000-0005-0000-0000-0000FA040000}"/>
    <cellStyle name="R02H" xfId="919" xr:uid="{00000000-0005-0000-0000-0000FB040000}"/>
    <cellStyle name="R02L" xfId="920" xr:uid="{00000000-0005-0000-0000-0000FC040000}"/>
    <cellStyle name="R03A" xfId="921" xr:uid="{00000000-0005-0000-0000-0000FD040000}"/>
    <cellStyle name="R03B" xfId="922" xr:uid="{00000000-0005-0000-0000-0000FE040000}"/>
    <cellStyle name="R03H" xfId="923" xr:uid="{00000000-0005-0000-0000-0000FF040000}"/>
    <cellStyle name="R03L" xfId="924" xr:uid="{00000000-0005-0000-0000-000000050000}"/>
    <cellStyle name="R04A" xfId="925" xr:uid="{00000000-0005-0000-0000-000001050000}"/>
    <cellStyle name="R04B" xfId="926" xr:uid="{00000000-0005-0000-0000-000002050000}"/>
    <cellStyle name="R04H" xfId="927" xr:uid="{00000000-0005-0000-0000-000003050000}"/>
    <cellStyle name="R04L" xfId="928" xr:uid="{00000000-0005-0000-0000-000004050000}"/>
    <cellStyle name="R05A" xfId="929" xr:uid="{00000000-0005-0000-0000-000005050000}"/>
    <cellStyle name="R05B" xfId="930" xr:uid="{00000000-0005-0000-0000-000006050000}"/>
    <cellStyle name="R05H" xfId="931" xr:uid="{00000000-0005-0000-0000-000007050000}"/>
    <cellStyle name="R05L" xfId="932" xr:uid="{00000000-0005-0000-0000-000008050000}"/>
    <cellStyle name="R06A" xfId="933" xr:uid="{00000000-0005-0000-0000-000009050000}"/>
    <cellStyle name="R06B" xfId="934" xr:uid="{00000000-0005-0000-0000-00000A050000}"/>
    <cellStyle name="R06H" xfId="935" xr:uid="{00000000-0005-0000-0000-00000B050000}"/>
    <cellStyle name="R06L" xfId="936" xr:uid="{00000000-0005-0000-0000-00000C050000}"/>
    <cellStyle name="R07A" xfId="937" xr:uid="{00000000-0005-0000-0000-00000D050000}"/>
    <cellStyle name="R07B" xfId="938" xr:uid="{00000000-0005-0000-0000-00000E050000}"/>
    <cellStyle name="R07H" xfId="939" xr:uid="{00000000-0005-0000-0000-00000F050000}"/>
    <cellStyle name="R07L" xfId="940" xr:uid="{00000000-0005-0000-0000-000010050000}"/>
    <cellStyle name="rate" xfId="941" xr:uid="{00000000-0005-0000-0000-000011050000}"/>
    <cellStyle name="Rates" xfId="942" xr:uid="{00000000-0005-0000-0000-000012050000}"/>
    <cellStyle name="Ratio" xfId="943" xr:uid="{00000000-0005-0000-0000-000013050000}"/>
    <cellStyle name="Ratio Comma" xfId="944" xr:uid="{00000000-0005-0000-0000-000014050000}"/>
    <cellStyle name="Ratio_040805 HLH joint financial model v0.3j" xfId="945" xr:uid="{00000000-0005-0000-0000-000015050000}"/>
    <cellStyle name="realtime" xfId="946" xr:uid="{00000000-0005-0000-0000-000016050000}"/>
    <cellStyle name="Red font" xfId="947" xr:uid="{00000000-0005-0000-0000-000017050000}"/>
    <cellStyle name="Red Text" xfId="948" xr:uid="{00000000-0005-0000-0000-000018050000}"/>
    <cellStyle name="Reporting Bold" xfId="83" xr:uid="{00000000-0005-0000-0000-000019050000}"/>
    <cellStyle name="Reporting Bold 14" xfId="84" xr:uid="{00000000-0005-0000-0000-00001A050000}"/>
    <cellStyle name="Reporting Normal" xfId="85" xr:uid="{00000000-0005-0000-0000-00001B050000}"/>
    <cellStyle name="Resaltar" xfId="86" xr:uid="{00000000-0005-0000-0000-00001C050000}"/>
    <cellStyle name="Resaltar1" xfId="87" xr:uid="{00000000-0005-0000-0000-00001D050000}"/>
    <cellStyle name="result" xfId="949" xr:uid="{00000000-0005-0000-0000-00001E050000}"/>
    <cellStyle name="Resultat" xfId="950" xr:uid="{00000000-0005-0000-0000-00001F050000}"/>
    <cellStyle name="RESUME" xfId="951" xr:uid="{00000000-0005-0000-0000-000020050000}"/>
    <cellStyle name="RevList" xfId="88" xr:uid="{00000000-0005-0000-0000-000021050000}"/>
    <cellStyle name="RevList 2" xfId="952" xr:uid="{00000000-0005-0000-0000-000022050000}"/>
    <cellStyle name="Right" xfId="1581" xr:uid="{00000000-0005-0000-0000-000023050000}"/>
    <cellStyle name="RM" xfId="89" xr:uid="{00000000-0005-0000-0000-000024050000}"/>
    <cellStyle name="Roadrunner" xfId="953" xr:uid="{00000000-0005-0000-0000-000025050000}"/>
    <cellStyle name="rt" xfId="954" xr:uid="{00000000-0005-0000-0000-000026050000}"/>
    <cellStyle name="Salida" xfId="108" xr:uid="{00000000-0005-0000-0000-000027050000}"/>
    <cellStyle name="Salida 2" xfId="252" xr:uid="{00000000-0005-0000-0000-000028050000}"/>
    <cellStyle name="Salida 2 2" xfId="1582" xr:uid="{00000000-0005-0000-0000-000029050000}"/>
    <cellStyle name="Salida 2 3" xfId="1583" xr:uid="{00000000-0005-0000-0000-00002A050000}"/>
    <cellStyle name="Salida 2 4" xfId="1584" xr:uid="{00000000-0005-0000-0000-00002B050000}"/>
    <cellStyle name="Salida 3" xfId="955" xr:uid="{00000000-0005-0000-0000-00002C050000}"/>
    <cellStyle name="Salida 3 2" xfId="1585" xr:uid="{00000000-0005-0000-0000-00002D050000}"/>
    <cellStyle name="Salida 4" xfId="1586" xr:uid="{00000000-0005-0000-0000-00002E050000}"/>
    <cellStyle name="SAPBEXaggData" xfId="90" xr:uid="{00000000-0005-0000-0000-00002F050000}"/>
    <cellStyle name="SAPBEXaggData 2" xfId="342" xr:uid="{00000000-0005-0000-0000-000030050000}"/>
    <cellStyle name="SAPBEXaggData 3" xfId="956" xr:uid="{00000000-0005-0000-0000-000031050000}"/>
    <cellStyle name="SAPBEXaggData 4" xfId="269" xr:uid="{00000000-0005-0000-0000-000032050000}"/>
    <cellStyle name="SAPBEXaggData_Flujo Cliente by CC" xfId="957" xr:uid="{00000000-0005-0000-0000-000033050000}"/>
    <cellStyle name="SAPBEXaggDataEmph" xfId="270" xr:uid="{00000000-0005-0000-0000-000034050000}"/>
    <cellStyle name="SAPBEXaggDataEmph 2" xfId="343" xr:uid="{00000000-0005-0000-0000-000035050000}"/>
    <cellStyle name="SAPBEXaggDataEmph 3" xfId="958" xr:uid="{00000000-0005-0000-0000-000036050000}"/>
    <cellStyle name="SAPBEXaggDataEmph_Flujo Cliente by CC" xfId="959" xr:uid="{00000000-0005-0000-0000-000037050000}"/>
    <cellStyle name="SAPBEXaggExc1" xfId="271" xr:uid="{00000000-0005-0000-0000-000038050000}"/>
    <cellStyle name="SAPBEXaggExc1Emph" xfId="272" xr:uid="{00000000-0005-0000-0000-000039050000}"/>
    <cellStyle name="SAPBEXaggExc2" xfId="273" xr:uid="{00000000-0005-0000-0000-00003A050000}"/>
    <cellStyle name="SAPBEXaggExc2Emph" xfId="274" xr:uid="{00000000-0005-0000-0000-00003B050000}"/>
    <cellStyle name="SAPBEXaggItem" xfId="275" xr:uid="{00000000-0005-0000-0000-00003C050000}"/>
    <cellStyle name="SAPBEXaggItem 2" xfId="344" xr:uid="{00000000-0005-0000-0000-00003D050000}"/>
    <cellStyle name="SAPBEXaggItem 3" xfId="960" xr:uid="{00000000-0005-0000-0000-00003E050000}"/>
    <cellStyle name="SAPBEXaggItem_Flujo Cliente by CC" xfId="961" xr:uid="{00000000-0005-0000-0000-00003F050000}"/>
    <cellStyle name="SAPBEXaggItemX" xfId="962" xr:uid="{00000000-0005-0000-0000-000040050000}"/>
    <cellStyle name="SAPBEXbackground" xfId="204" xr:uid="{00000000-0005-0000-0000-000041050000}"/>
    <cellStyle name="SAPBEXbackground 2" xfId="276" xr:uid="{00000000-0005-0000-0000-000042050000}"/>
    <cellStyle name="SAPBEXbackground 2 2" xfId="449" xr:uid="{00000000-0005-0000-0000-000043050000}"/>
    <cellStyle name="SAPBEXbackground_Flujo Cliente by CC" xfId="963" xr:uid="{00000000-0005-0000-0000-000044050000}"/>
    <cellStyle name="SAPBEXchaText" xfId="277" xr:uid="{00000000-0005-0000-0000-000045050000}"/>
    <cellStyle name="SAPBEXchaText 2" xfId="345" xr:uid="{00000000-0005-0000-0000-000046050000}"/>
    <cellStyle name="SAPBEXchaText 3" xfId="964" xr:uid="{00000000-0005-0000-0000-000047050000}"/>
    <cellStyle name="SAPBEXchaText_Flujo Cliente by CC" xfId="965" xr:uid="{00000000-0005-0000-0000-000048050000}"/>
    <cellStyle name="SAPBEXexcBad7" xfId="278" xr:uid="{00000000-0005-0000-0000-000049050000}"/>
    <cellStyle name="SAPBEXexcBad7 2" xfId="346" xr:uid="{00000000-0005-0000-0000-00004A050000}"/>
    <cellStyle name="SAPBEXexcBad7 3" xfId="966" xr:uid="{00000000-0005-0000-0000-00004B050000}"/>
    <cellStyle name="SAPBEXexcBad7_Flujo Cliente by CC" xfId="967" xr:uid="{00000000-0005-0000-0000-00004C050000}"/>
    <cellStyle name="SAPBEXexcBad8" xfId="279" xr:uid="{00000000-0005-0000-0000-00004D050000}"/>
    <cellStyle name="SAPBEXexcBad8 2" xfId="347" xr:uid="{00000000-0005-0000-0000-00004E050000}"/>
    <cellStyle name="SAPBEXexcBad8 3" xfId="968" xr:uid="{00000000-0005-0000-0000-00004F050000}"/>
    <cellStyle name="SAPBEXexcBad8_Flujo Cliente by CC" xfId="969" xr:uid="{00000000-0005-0000-0000-000050050000}"/>
    <cellStyle name="SAPBEXexcBad9" xfId="280" xr:uid="{00000000-0005-0000-0000-000051050000}"/>
    <cellStyle name="SAPBEXexcBad9 2" xfId="348" xr:uid="{00000000-0005-0000-0000-000052050000}"/>
    <cellStyle name="SAPBEXexcBad9 3" xfId="970" xr:uid="{00000000-0005-0000-0000-000053050000}"/>
    <cellStyle name="SAPBEXexcBad9_Flujo Cliente by CC" xfId="971" xr:uid="{00000000-0005-0000-0000-000054050000}"/>
    <cellStyle name="SAPBEXexcCritical4" xfId="281" xr:uid="{00000000-0005-0000-0000-000055050000}"/>
    <cellStyle name="SAPBEXexcCritical4 2" xfId="349" xr:uid="{00000000-0005-0000-0000-000056050000}"/>
    <cellStyle name="SAPBEXexcCritical4 3" xfId="972" xr:uid="{00000000-0005-0000-0000-000057050000}"/>
    <cellStyle name="SAPBEXexcCritical4_Flujo Cliente by CC" xfId="973" xr:uid="{00000000-0005-0000-0000-000058050000}"/>
    <cellStyle name="SAPBEXexcCritical5" xfId="282" xr:uid="{00000000-0005-0000-0000-000059050000}"/>
    <cellStyle name="SAPBEXexcCritical5 2" xfId="350" xr:uid="{00000000-0005-0000-0000-00005A050000}"/>
    <cellStyle name="SAPBEXexcCritical5 3" xfId="974" xr:uid="{00000000-0005-0000-0000-00005B050000}"/>
    <cellStyle name="SAPBEXexcCritical5_Flujo Cliente by CC" xfId="975" xr:uid="{00000000-0005-0000-0000-00005C050000}"/>
    <cellStyle name="SAPBEXexcCritical6" xfId="283" xr:uid="{00000000-0005-0000-0000-00005D050000}"/>
    <cellStyle name="SAPBEXexcCritical6 2" xfId="351" xr:uid="{00000000-0005-0000-0000-00005E050000}"/>
    <cellStyle name="SAPBEXexcCritical6 3" xfId="976" xr:uid="{00000000-0005-0000-0000-00005F050000}"/>
    <cellStyle name="SAPBEXexcCritical6_Flujo Cliente by CC" xfId="977" xr:uid="{00000000-0005-0000-0000-000060050000}"/>
    <cellStyle name="SAPBEXexcGood1" xfId="284" xr:uid="{00000000-0005-0000-0000-000061050000}"/>
    <cellStyle name="SAPBEXexcGood1 2" xfId="352" xr:uid="{00000000-0005-0000-0000-000062050000}"/>
    <cellStyle name="SAPBEXexcGood1 3" xfId="978" xr:uid="{00000000-0005-0000-0000-000063050000}"/>
    <cellStyle name="SAPBEXexcGood1_Flujo Cliente by CC" xfId="979" xr:uid="{00000000-0005-0000-0000-000064050000}"/>
    <cellStyle name="SAPBEXexcGood2" xfId="285" xr:uid="{00000000-0005-0000-0000-000065050000}"/>
    <cellStyle name="SAPBEXexcGood2 2" xfId="353" xr:uid="{00000000-0005-0000-0000-000066050000}"/>
    <cellStyle name="SAPBEXexcGood2 3" xfId="980" xr:uid="{00000000-0005-0000-0000-000067050000}"/>
    <cellStyle name="SAPBEXexcGood2_Flujo Cliente by CC" xfId="981" xr:uid="{00000000-0005-0000-0000-000068050000}"/>
    <cellStyle name="SAPBEXexcGood3" xfId="286" xr:uid="{00000000-0005-0000-0000-000069050000}"/>
    <cellStyle name="SAPBEXexcGood3 2" xfId="354" xr:uid="{00000000-0005-0000-0000-00006A050000}"/>
    <cellStyle name="SAPBEXexcGood3 3" xfId="982" xr:uid="{00000000-0005-0000-0000-00006B050000}"/>
    <cellStyle name="SAPBEXexcGood3_Flujo Cliente by CC" xfId="983" xr:uid="{00000000-0005-0000-0000-00006C050000}"/>
    <cellStyle name="SAPBEXfilterDrill" xfId="287" xr:uid="{00000000-0005-0000-0000-00006D050000}"/>
    <cellStyle name="SAPBEXfilterDrill 2" xfId="355" xr:uid="{00000000-0005-0000-0000-00006E050000}"/>
    <cellStyle name="SAPBEXfilterDrill 3" xfId="984" xr:uid="{00000000-0005-0000-0000-00006F050000}"/>
    <cellStyle name="SAPBEXfilterDrill_Flujo Cliente by CC" xfId="985" xr:uid="{00000000-0005-0000-0000-000070050000}"/>
    <cellStyle name="SAPBEXfilterItem" xfId="288" xr:uid="{00000000-0005-0000-0000-000071050000}"/>
    <cellStyle name="SAPBEXfilterItem 2" xfId="356" xr:uid="{00000000-0005-0000-0000-000072050000}"/>
    <cellStyle name="SAPBEXfilterItem 3" xfId="986" xr:uid="{00000000-0005-0000-0000-000073050000}"/>
    <cellStyle name="SAPBEXfilterItem_Flujo Cliente by CC" xfId="987" xr:uid="{00000000-0005-0000-0000-000074050000}"/>
    <cellStyle name="SAPBEXfilterText" xfId="289" xr:uid="{00000000-0005-0000-0000-000075050000}"/>
    <cellStyle name="SAPBEXfilterText 2" xfId="357" xr:uid="{00000000-0005-0000-0000-000076050000}"/>
    <cellStyle name="SAPBEXfilterText 3" xfId="988" xr:uid="{00000000-0005-0000-0000-000077050000}"/>
    <cellStyle name="SAPBEXfilterText_Flujo Cliente by CC" xfId="989" xr:uid="{00000000-0005-0000-0000-000078050000}"/>
    <cellStyle name="SAPBEXformats" xfId="290" xr:uid="{00000000-0005-0000-0000-000079050000}"/>
    <cellStyle name="SAPBEXformats 2" xfId="358" xr:uid="{00000000-0005-0000-0000-00007A050000}"/>
    <cellStyle name="SAPBEXformats 3" xfId="990" xr:uid="{00000000-0005-0000-0000-00007B050000}"/>
    <cellStyle name="SAPBEXformats_Flujo Cliente by CC" xfId="991" xr:uid="{00000000-0005-0000-0000-00007C050000}"/>
    <cellStyle name="SAPBEXheaderData" xfId="291" xr:uid="{00000000-0005-0000-0000-00007D050000}"/>
    <cellStyle name="SAPBEXheaderData 2" xfId="359" xr:uid="{00000000-0005-0000-0000-00007E050000}"/>
    <cellStyle name="SAPBEXheaderData_Flujo Cliente by CC" xfId="992" xr:uid="{00000000-0005-0000-0000-00007F050000}"/>
    <cellStyle name="SAPBEXheaderItem" xfId="292" xr:uid="{00000000-0005-0000-0000-000080050000}"/>
    <cellStyle name="SAPBEXheaderItem 2" xfId="360" xr:uid="{00000000-0005-0000-0000-000081050000}"/>
    <cellStyle name="SAPBEXheaderItem 3" xfId="993" xr:uid="{00000000-0005-0000-0000-000082050000}"/>
    <cellStyle name="SAPBEXheaderItem_Flujo Cliente by CC" xfId="994" xr:uid="{00000000-0005-0000-0000-000083050000}"/>
    <cellStyle name="SAPBEXheaderRowOne" xfId="293" xr:uid="{00000000-0005-0000-0000-000084050000}"/>
    <cellStyle name="SAPBEXheaderRowOne 2" xfId="361" xr:uid="{00000000-0005-0000-0000-000085050000}"/>
    <cellStyle name="SAPBEXheaderRowThree" xfId="294" xr:uid="{00000000-0005-0000-0000-000086050000}"/>
    <cellStyle name="SAPBEXheaderRowThree 2" xfId="362" xr:uid="{00000000-0005-0000-0000-000087050000}"/>
    <cellStyle name="SAPBEXheaderRowThree_Flujo Cliente by CC" xfId="995" xr:uid="{00000000-0005-0000-0000-000088050000}"/>
    <cellStyle name="SAPBEXheaderRowTwo" xfId="295" xr:uid="{00000000-0005-0000-0000-000089050000}"/>
    <cellStyle name="SAPBEXheaderRowTwo 2" xfId="363" xr:uid="{00000000-0005-0000-0000-00008A050000}"/>
    <cellStyle name="SAPBEXheaderRowTwo_Flujo Cliente by CC" xfId="996" xr:uid="{00000000-0005-0000-0000-00008B050000}"/>
    <cellStyle name="SAPBEXheaderSingleRow" xfId="296" xr:uid="{00000000-0005-0000-0000-00008C050000}"/>
    <cellStyle name="SAPBEXheaderSingleRow 2" xfId="364" xr:uid="{00000000-0005-0000-0000-00008D050000}"/>
    <cellStyle name="SAPBEXheaderText" xfId="297" xr:uid="{00000000-0005-0000-0000-00008E050000}"/>
    <cellStyle name="SAPBEXheaderText 2" xfId="365" xr:uid="{00000000-0005-0000-0000-00008F050000}"/>
    <cellStyle name="SAPBEXheaderText 3" xfId="997" xr:uid="{00000000-0005-0000-0000-000090050000}"/>
    <cellStyle name="SAPBEXheaderText_Flujo Cliente by CC" xfId="998" xr:uid="{00000000-0005-0000-0000-000091050000}"/>
    <cellStyle name="SAPBEXHLevel0" xfId="999" xr:uid="{00000000-0005-0000-0000-000092050000}"/>
    <cellStyle name="SAPBEXHLevel0X" xfId="1000" xr:uid="{00000000-0005-0000-0000-000093050000}"/>
    <cellStyle name="SAPBEXHLevel1" xfId="1001" xr:uid="{00000000-0005-0000-0000-000094050000}"/>
    <cellStyle name="SAPBEXHLevel1X" xfId="1002" xr:uid="{00000000-0005-0000-0000-000095050000}"/>
    <cellStyle name="SAPBEXHLevel2" xfId="1003" xr:uid="{00000000-0005-0000-0000-000096050000}"/>
    <cellStyle name="SAPBEXHLevel2X" xfId="1004" xr:uid="{00000000-0005-0000-0000-000097050000}"/>
    <cellStyle name="SAPBEXHLevel3" xfId="1005" xr:uid="{00000000-0005-0000-0000-000098050000}"/>
    <cellStyle name="SAPBEXHLevel3X" xfId="1006" xr:uid="{00000000-0005-0000-0000-000099050000}"/>
    <cellStyle name="SAPBEXresData" xfId="298" xr:uid="{00000000-0005-0000-0000-00009A050000}"/>
    <cellStyle name="SAPBEXresData 2" xfId="366" xr:uid="{00000000-0005-0000-0000-00009B050000}"/>
    <cellStyle name="SAPBEXresData 3" xfId="1007" xr:uid="{00000000-0005-0000-0000-00009C050000}"/>
    <cellStyle name="SAPBEXresData_Flujo Cliente by CC" xfId="1008" xr:uid="{00000000-0005-0000-0000-00009D050000}"/>
    <cellStyle name="SAPBEXresDataEmph" xfId="299" xr:uid="{00000000-0005-0000-0000-00009E050000}"/>
    <cellStyle name="SAPBEXresDataEmph 2" xfId="367" xr:uid="{00000000-0005-0000-0000-00009F050000}"/>
    <cellStyle name="SAPBEXresDataEmph 3" xfId="1009" xr:uid="{00000000-0005-0000-0000-0000A0050000}"/>
    <cellStyle name="SAPBEXresDataEmph_Flujo Cliente by CC" xfId="1010" xr:uid="{00000000-0005-0000-0000-0000A1050000}"/>
    <cellStyle name="SAPBEXresExc1" xfId="300" xr:uid="{00000000-0005-0000-0000-0000A2050000}"/>
    <cellStyle name="SAPBEXresExc1Emph" xfId="301" xr:uid="{00000000-0005-0000-0000-0000A3050000}"/>
    <cellStyle name="SAPBEXresExc2" xfId="302" xr:uid="{00000000-0005-0000-0000-0000A4050000}"/>
    <cellStyle name="SAPBEXresExc2Emph" xfId="303" xr:uid="{00000000-0005-0000-0000-0000A5050000}"/>
    <cellStyle name="SAPBEXresItem" xfId="304" xr:uid="{00000000-0005-0000-0000-0000A6050000}"/>
    <cellStyle name="SAPBEXresItem 2" xfId="368" xr:uid="{00000000-0005-0000-0000-0000A7050000}"/>
    <cellStyle name="SAPBEXresItem 3" xfId="1011" xr:uid="{00000000-0005-0000-0000-0000A8050000}"/>
    <cellStyle name="SAPBEXresItem_Flujo Cliente by CC" xfId="1012" xr:uid="{00000000-0005-0000-0000-0000A9050000}"/>
    <cellStyle name="SAPBEXresItemX" xfId="1013" xr:uid="{00000000-0005-0000-0000-0000AA050000}"/>
    <cellStyle name="SAPBEXstdData" xfId="91" xr:uid="{00000000-0005-0000-0000-0000AB050000}"/>
    <cellStyle name="SAPBEXstdData 2" xfId="369" xr:uid="{00000000-0005-0000-0000-0000AC050000}"/>
    <cellStyle name="SAPBEXstdData 3" xfId="1014" xr:uid="{00000000-0005-0000-0000-0000AD050000}"/>
    <cellStyle name="SAPBEXstdData 4" xfId="305" xr:uid="{00000000-0005-0000-0000-0000AE050000}"/>
    <cellStyle name="SAPBEXstdData_Flujo Cliente by CC" xfId="1015" xr:uid="{00000000-0005-0000-0000-0000AF050000}"/>
    <cellStyle name="SAPBEXstdDataEmph" xfId="306" xr:uid="{00000000-0005-0000-0000-0000B0050000}"/>
    <cellStyle name="SAPBEXstdDataEmph 2" xfId="370" xr:uid="{00000000-0005-0000-0000-0000B1050000}"/>
    <cellStyle name="SAPBEXstdDataEmph 3" xfId="1016" xr:uid="{00000000-0005-0000-0000-0000B2050000}"/>
    <cellStyle name="SAPBEXstdDataEmph_Flujo Cliente by CC" xfId="1017" xr:uid="{00000000-0005-0000-0000-0000B3050000}"/>
    <cellStyle name="SAPBEXstdExc1" xfId="307" xr:uid="{00000000-0005-0000-0000-0000B4050000}"/>
    <cellStyle name="SAPBEXstdExc1Emph" xfId="308" xr:uid="{00000000-0005-0000-0000-0000B5050000}"/>
    <cellStyle name="SAPBEXstdExc2" xfId="309" xr:uid="{00000000-0005-0000-0000-0000B6050000}"/>
    <cellStyle name="SAPBEXstdExc2Emph" xfId="310" xr:uid="{00000000-0005-0000-0000-0000B7050000}"/>
    <cellStyle name="SAPBEXstdItem" xfId="311" xr:uid="{00000000-0005-0000-0000-0000B8050000}"/>
    <cellStyle name="SAPBEXstdItem 2" xfId="371" xr:uid="{00000000-0005-0000-0000-0000B9050000}"/>
    <cellStyle name="SAPBEXstdItem 2 2" xfId="395" xr:uid="{00000000-0005-0000-0000-0000BA050000}"/>
    <cellStyle name="SAPBEXstdItem 2 3" xfId="427" xr:uid="{00000000-0005-0000-0000-0000BB050000}"/>
    <cellStyle name="SAPBEXstdItem 2 4" xfId="440" xr:uid="{00000000-0005-0000-0000-0000BC050000}"/>
    <cellStyle name="SAPBEXstdItem 3" xfId="399" xr:uid="{00000000-0005-0000-0000-0000BD050000}"/>
    <cellStyle name="SAPBEXstdItem 3 2" xfId="429" xr:uid="{00000000-0005-0000-0000-0000BE050000}"/>
    <cellStyle name="SAPBEXstdItem 3 3" xfId="430" xr:uid="{00000000-0005-0000-0000-0000BF050000}"/>
    <cellStyle name="SAPBEXstdItem 3 4" xfId="425" xr:uid="{00000000-0005-0000-0000-0000C0050000}"/>
    <cellStyle name="SAPBEXstdItem 4" xfId="434" xr:uid="{00000000-0005-0000-0000-0000C1050000}"/>
    <cellStyle name="SAPBEXstdItem 5" xfId="397" xr:uid="{00000000-0005-0000-0000-0000C2050000}"/>
    <cellStyle name="SAPBEXstdItem 6" xfId="441" xr:uid="{00000000-0005-0000-0000-0000C3050000}"/>
    <cellStyle name="SAPBEXstdItem_Flujo Cliente by CC" xfId="1018" xr:uid="{00000000-0005-0000-0000-0000C4050000}"/>
    <cellStyle name="SAPBEXstdItemHeader" xfId="312" xr:uid="{00000000-0005-0000-0000-0000C5050000}"/>
    <cellStyle name="SAPBEXstdItemHeader 2" xfId="372" xr:uid="{00000000-0005-0000-0000-0000C6050000}"/>
    <cellStyle name="SAPBEXstdItemHeader_Flujo Cliente by CC" xfId="1019" xr:uid="{00000000-0005-0000-0000-0000C7050000}"/>
    <cellStyle name="SAPBEXstdItemLeft" xfId="313" xr:uid="{00000000-0005-0000-0000-0000C8050000}"/>
    <cellStyle name="SAPBEXstdItemLeft 2" xfId="373" xr:uid="{00000000-0005-0000-0000-0000C9050000}"/>
    <cellStyle name="SAPBEXstdItemLeft_Flujo Cliente by CC" xfId="1020" xr:uid="{00000000-0005-0000-0000-0000CA050000}"/>
    <cellStyle name="SAPBEXstdItemLeftChart" xfId="314" xr:uid="{00000000-0005-0000-0000-0000CB050000}"/>
    <cellStyle name="SAPBEXstdItemLeftChart 2" xfId="374" xr:uid="{00000000-0005-0000-0000-0000CC050000}"/>
    <cellStyle name="SAPBEXstdItemLeftChart_Flujo Cliente by CC" xfId="1021" xr:uid="{00000000-0005-0000-0000-0000CD050000}"/>
    <cellStyle name="SAPBEXstdItemX" xfId="1022" xr:uid="{00000000-0005-0000-0000-0000CE050000}"/>
    <cellStyle name="SAPBEXsubData" xfId="315" xr:uid="{00000000-0005-0000-0000-0000CF050000}"/>
    <cellStyle name="SAPBEXsubData 2" xfId="375" xr:uid="{00000000-0005-0000-0000-0000D0050000}"/>
    <cellStyle name="SAPBEXsubData_Flujo Cliente by CC" xfId="1023" xr:uid="{00000000-0005-0000-0000-0000D1050000}"/>
    <cellStyle name="SAPBEXsubDataEmph" xfId="316" xr:uid="{00000000-0005-0000-0000-0000D2050000}"/>
    <cellStyle name="SAPBEXsubDataEmph 2" xfId="376" xr:uid="{00000000-0005-0000-0000-0000D3050000}"/>
    <cellStyle name="SAPBEXsubDataEmph_Flujo Cliente by CC" xfId="1024" xr:uid="{00000000-0005-0000-0000-0000D4050000}"/>
    <cellStyle name="SAPBEXsubExc1" xfId="317" xr:uid="{00000000-0005-0000-0000-0000D5050000}"/>
    <cellStyle name="SAPBEXsubExc1Emph" xfId="318" xr:uid="{00000000-0005-0000-0000-0000D6050000}"/>
    <cellStyle name="SAPBEXsubExc2" xfId="319" xr:uid="{00000000-0005-0000-0000-0000D7050000}"/>
    <cellStyle name="SAPBEXsubExc2Emph" xfId="320" xr:uid="{00000000-0005-0000-0000-0000D8050000}"/>
    <cellStyle name="SAPBEXsubItem" xfId="321" xr:uid="{00000000-0005-0000-0000-0000D9050000}"/>
    <cellStyle name="SAPBEXsubItem 2" xfId="378" xr:uid="{00000000-0005-0000-0000-0000DA050000}"/>
    <cellStyle name="SAPBEXsubItem_Flujo Cliente by CC" xfId="1025" xr:uid="{00000000-0005-0000-0000-0000DB050000}"/>
    <cellStyle name="SAPBEXtitle" xfId="322" xr:uid="{00000000-0005-0000-0000-0000DC050000}"/>
    <cellStyle name="SAPBEXtitle 2" xfId="1026" xr:uid="{00000000-0005-0000-0000-0000DD050000}"/>
    <cellStyle name="SAPBEXundefined" xfId="323" xr:uid="{00000000-0005-0000-0000-0000DE050000}"/>
    <cellStyle name="SAPBEXundefined 2" xfId="380" xr:uid="{00000000-0005-0000-0000-0000DF050000}"/>
    <cellStyle name="SAPBEXundefined 3" xfId="1027" xr:uid="{00000000-0005-0000-0000-0000E0050000}"/>
    <cellStyle name="SAPBEXundefined_Flujo Cliente by CC" xfId="1028" xr:uid="{00000000-0005-0000-0000-0000E1050000}"/>
    <cellStyle name="Section" xfId="1029" xr:uid="{00000000-0005-0000-0000-0000E2050000}"/>
    <cellStyle name="SectionTitle" xfId="1587" xr:uid="{00000000-0005-0000-0000-0000E3050000}"/>
    <cellStyle name="Sep. milhar [0]" xfId="1030" xr:uid="{00000000-0005-0000-0000-0000E4050000}"/>
    <cellStyle name="Separador de m" xfId="1031" xr:uid="{00000000-0005-0000-0000-0000E5050000}"/>
    <cellStyle name="Separador de milhares [0]_anexos_CDSA1" xfId="1588" xr:uid="{00000000-0005-0000-0000-0000E6050000}"/>
    <cellStyle name="Separador de milhares_anexos_CDSA1" xfId="1589" xr:uid="{00000000-0005-0000-0000-0000E7050000}"/>
    <cellStyle name="Service Category" xfId="420" xr:uid="{00000000-0005-0000-0000-0000E8050000}"/>
    <cellStyle name="SheetTitle" xfId="1032" xr:uid="{00000000-0005-0000-0000-0000E9050000}"/>
    <cellStyle name="SideOverskrift" xfId="1033" xr:uid="{00000000-0005-0000-0000-0000EA050000}"/>
    <cellStyle name="slide" xfId="1034" xr:uid="{00000000-0005-0000-0000-0000EB050000}"/>
    <cellStyle name="ssubtitulo" xfId="1035" xr:uid="{00000000-0005-0000-0000-0000EC050000}"/>
    <cellStyle name="standard" xfId="1036" xr:uid="{00000000-0005-0000-0000-0000ED050000}"/>
    <cellStyle name="StatementTerm" xfId="1037" xr:uid="{00000000-0005-0000-0000-0000EE050000}"/>
    <cellStyle name="static" xfId="1038" xr:uid="{00000000-0005-0000-0000-0000EF050000}"/>
    <cellStyle name="Stock Comma" xfId="1039" xr:uid="{00000000-0005-0000-0000-0000F0050000}"/>
    <cellStyle name="Stock Price" xfId="1040" xr:uid="{00000000-0005-0000-0000-0000F1050000}"/>
    <cellStyle name="stot" xfId="1590" xr:uid="{00000000-0005-0000-0000-0000F2050000}"/>
    <cellStyle name="Style 1" xfId="1041" xr:uid="{00000000-0005-0000-0000-0000F3050000}"/>
    <cellStyle name="Style 1 2" xfId="1042" xr:uid="{00000000-0005-0000-0000-0000F4050000}"/>
    <cellStyle name="Style 1 3" xfId="1657" xr:uid="{00000000-0005-0000-0000-0000F5050000}"/>
    <cellStyle name="Style 124" xfId="1591" xr:uid="{00000000-0005-0000-0000-0000F6050000}"/>
    <cellStyle name="Style 2" xfId="1043" xr:uid="{00000000-0005-0000-0000-0000F7050000}"/>
    <cellStyle name="Style 3" xfId="1592" xr:uid="{00000000-0005-0000-0000-0000F8050000}"/>
    <cellStyle name="Style 490" xfId="1593" xr:uid="{00000000-0005-0000-0000-0000F9050000}"/>
    <cellStyle name="subtitulo" xfId="1044" xr:uid="{00000000-0005-0000-0000-0000FA050000}"/>
    <cellStyle name="Subtotal" xfId="92" xr:uid="{00000000-0005-0000-0000-0000FB050000}"/>
    <cellStyle name="Sum" xfId="1045" xr:uid="{00000000-0005-0000-0000-0000FC050000}"/>
    <cellStyle name="Tabelloverskrift" xfId="1046" xr:uid="{00000000-0005-0000-0000-0000FD050000}"/>
    <cellStyle name="Table" xfId="1047" xr:uid="{00000000-0005-0000-0000-0000FE050000}"/>
    <cellStyle name="Table 2" xfId="1594" xr:uid="{00000000-0005-0000-0000-0000FF050000}"/>
    <cellStyle name="Table Head" xfId="1048" xr:uid="{00000000-0005-0000-0000-000000060000}"/>
    <cellStyle name="Table Head Aligned" xfId="1049" xr:uid="{00000000-0005-0000-0000-000001060000}"/>
    <cellStyle name="Table Head Blue" xfId="1050" xr:uid="{00000000-0005-0000-0000-000002060000}"/>
    <cellStyle name="Table Head Green" xfId="1051" xr:uid="{00000000-0005-0000-0000-000003060000}"/>
    <cellStyle name="Table Heading" xfId="1052" xr:uid="{00000000-0005-0000-0000-000004060000}"/>
    <cellStyle name="Table Title" xfId="1053" xr:uid="{00000000-0005-0000-0000-000005060000}"/>
    <cellStyle name="Table Title 2" xfId="1595" xr:uid="{00000000-0005-0000-0000-000006060000}"/>
    <cellStyle name="Table Units" xfId="1054" xr:uid="{00000000-0005-0000-0000-000007060000}"/>
    <cellStyle name="Table Units 2" xfId="1596" xr:uid="{00000000-0005-0000-0000-000008060000}"/>
    <cellStyle name="Table_Header" xfId="93" xr:uid="{00000000-0005-0000-0000-000009060000}"/>
    <cellStyle name="Tag" xfId="1055" xr:uid="{00000000-0005-0000-0000-00000A060000}"/>
    <cellStyle name="taples Plaza" xfId="1056" xr:uid="{00000000-0005-0000-0000-00000B060000}"/>
    <cellStyle name="Technical_Input" xfId="1597" xr:uid="{00000000-0005-0000-0000-00000C060000}"/>
    <cellStyle name="Tender" xfId="1057" xr:uid="{00000000-0005-0000-0000-00000D060000}"/>
    <cellStyle name="Test" xfId="1058" xr:uid="{00000000-0005-0000-0000-00000E060000}"/>
    <cellStyle name="TESTE" xfId="1059" xr:uid="{00000000-0005-0000-0000-00000F060000}"/>
    <cellStyle name="text" xfId="1060" xr:uid="{00000000-0005-0000-0000-000010060000}"/>
    <cellStyle name="Text Indent A" xfId="1061" xr:uid="{00000000-0005-0000-0000-000011060000}"/>
    <cellStyle name="Text Indent B" xfId="1062" xr:uid="{00000000-0005-0000-0000-000012060000}"/>
    <cellStyle name="Text Indent C" xfId="1063" xr:uid="{00000000-0005-0000-0000-000013060000}"/>
    <cellStyle name="Texto de advertencia" xfId="107" xr:uid="{00000000-0005-0000-0000-000014060000}"/>
    <cellStyle name="Texto de advertencia 2" xfId="1064" xr:uid="{00000000-0005-0000-0000-000015060000}"/>
    <cellStyle name="Texto de advertencia 2 2" xfId="1598" xr:uid="{00000000-0005-0000-0000-000016060000}"/>
    <cellStyle name="Texto de advertencia 2 3" xfId="1599" xr:uid="{00000000-0005-0000-0000-000017060000}"/>
    <cellStyle name="Texto de advertencia 3" xfId="1065" xr:uid="{00000000-0005-0000-0000-000018060000}"/>
    <cellStyle name="Texto de advertencia 4" xfId="1600" xr:uid="{00000000-0005-0000-0000-000019060000}"/>
    <cellStyle name="Texto explicativo" xfId="106" xr:uid="{00000000-0005-0000-0000-00001A060000}"/>
    <cellStyle name="Texto explicativo 2" xfId="1601" xr:uid="{00000000-0005-0000-0000-00001B060000}"/>
    <cellStyle name="Texto explicativo 2 2" xfId="1602" xr:uid="{00000000-0005-0000-0000-00001C060000}"/>
    <cellStyle name="Texto explicativo 2 3" xfId="1603" xr:uid="{00000000-0005-0000-0000-00001D060000}"/>
    <cellStyle name="Texto explicativo 3" xfId="1604" xr:uid="{00000000-0005-0000-0000-00001E060000}"/>
    <cellStyle name="Texto explicativo 4" xfId="1605" xr:uid="{00000000-0005-0000-0000-00001F060000}"/>
    <cellStyle name="TFCF" xfId="1066" xr:uid="{00000000-0005-0000-0000-000020060000}"/>
    <cellStyle name="TIM BP" xfId="1067" xr:uid="{00000000-0005-0000-0000-000021060000}"/>
    <cellStyle name="Title 2" xfId="205" xr:uid="{00000000-0005-0000-0000-000022060000}"/>
    <cellStyle name="Title 3" xfId="1606" xr:uid="{00000000-0005-0000-0000-000023060000}"/>
    <cellStyle name="tito1" xfId="1068" xr:uid="{00000000-0005-0000-0000-000024060000}"/>
    <cellStyle name="titre_col" xfId="1069" xr:uid="{00000000-0005-0000-0000-000025060000}"/>
    <cellStyle name="titulo" xfId="1070" xr:uid="{00000000-0005-0000-0000-000026060000}"/>
    <cellStyle name="Título" xfId="206" xr:uid="{00000000-0005-0000-0000-000027060000}"/>
    <cellStyle name="Título 1" xfId="207" xr:uid="{00000000-0005-0000-0000-000028060000}"/>
    <cellStyle name="Título 1 2" xfId="254" xr:uid="{00000000-0005-0000-0000-000029060000}"/>
    <cellStyle name="Título 1 2 2" xfId="1607" xr:uid="{00000000-0005-0000-0000-00002A060000}"/>
    <cellStyle name="Título 1 2 3" xfId="1608" xr:uid="{00000000-0005-0000-0000-00002B060000}"/>
    <cellStyle name="Título 1 2 4" xfId="1609" xr:uid="{00000000-0005-0000-0000-00002C060000}"/>
    <cellStyle name="Título 1 3" xfId="1071" xr:uid="{00000000-0005-0000-0000-00002D060000}"/>
    <cellStyle name="Título 1 3 2" xfId="1610" xr:uid="{00000000-0005-0000-0000-00002E060000}"/>
    <cellStyle name="Título 1 4" xfId="1611" xr:uid="{00000000-0005-0000-0000-00002F060000}"/>
    <cellStyle name="Título 2" xfId="208" xr:uid="{00000000-0005-0000-0000-000030060000}"/>
    <cellStyle name="Título 2 2" xfId="255" xr:uid="{00000000-0005-0000-0000-000031060000}"/>
    <cellStyle name="Título 2 2 2" xfId="1612" xr:uid="{00000000-0005-0000-0000-000032060000}"/>
    <cellStyle name="Título 2 2 3" xfId="1613" xr:uid="{00000000-0005-0000-0000-000033060000}"/>
    <cellStyle name="Título 2 2 4" xfId="1614" xr:uid="{00000000-0005-0000-0000-000034060000}"/>
    <cellStyle name="Título 2 3" xfId="1072" xr:uid="{00000000-0005-0000-0000-000035060000}"/>
    <cellStyle name="Título 2 3 2" xfId="1615" xr:uid="{00000000-0005-0000-0000-000036060000}"/>
    <cellStyle name="Título 2 4" xfId="1616" xr:uid="{00000000-0005-0000-0000-000037060000}"/>
    <cellStyle name="Título 3" xfId="209" xr:uid="{00000000-0005-0000-0000-000038060000}"/>
    <cellStyle name="Título 3 2" xfId="256" xr:uid="{00000000-0005-0000-0000-000039060000}"/>
    <cellStyle name="Título 3 2 2" xfId="1617" xr:uid="{00000000-0005-0000-0000-00003A060000}"/>
    <cellStyle name="Título 3 2 3" xfId="1618" xr:uid="{00000000-0005-0000-0000-00003B060000}"/>
    <cellStyle name="Título 3 2 4" xfId="1619" xr:uid="{00000000-0005-0000-0000-00003C060000}"/>
    <cellStyle name="Título 3 3" xfId="1073" xr:uid="{00000000-0005-0000-0000-00003D060000}"/>
    <cellStyle name="Título 3 3 2" xfId="1620" xr:uid="{00000000-0005-0000-0000-00003E060000}"/>
    <cellStyle name="Título 3 4" xfId="1621" xr:uid="{00000000-0005-0000-0000-00003F060000}"/>
    <cellStyle name="Título 4" xfId="253" xr:uid="{00000000-0005-0000-0000-000040060000}"/>
    <cellStyle name="Título 4 2" xfId="1622" xr:uid="{00000000-0005-0000-0000-000041060000}"/>
    <cellStyle name="Título 4 3" xfId="1623" xr:uid="{00000000-0005-0000-0000-000042060000}"/>
    <cellStyle name="Título 5" xfId="1624" xr:uid="{00000000-0005-0000-0000-000043060000}"/>
    <cellStyle name="Título 6" xfId="1625" xr:uid="{00000000-0005-0000-0000-000044060000}"/>
    <cellStyle name="Título de hoja" xfId="1074" xr:uid="{00000000-0005-0000-0000-000045060000}"/>
    <cellStyle name="Titulo1" xfId="1075" xr:uid="{00000000-0005-0000-0000-000046060000}"/>
    <cellStyle name="Titulo2" xfId="1076" xr:uid="{00000000-0005-0000-0000-000047060000}"/>
    <cellStyle name="titulomov" xfId="1077" xr:uid="{00000000-0005-0000-0000-000048060000}"/>
    <cellStyle name="Todos" xfId="1078" xr:uid="{00000000-0005-0000-0000-000049060000}"/>
    <cellStyle name="Top Edge" xfId="1079" xr:uid="{00000000-0005-0000-0000-00004A060000}"/>
    <cellStyle name="TopGrey" xfId="1080" xr:uid="{00000000-0005-0000-0000-00004B060000}"/>
    <cellStyle name="Topheader" xfId="1081" xr:uid="{00000000-0005-0000-0000-00004C060000}"/>
    <cellStyle name="tot" xfId="1626" xr:uid="{00000000-0005-0000-0000-00004D060000}"/>
    <cellStyle name="Total 1" xfId="1082" xr:uid="{00000000-0005-0000-0000-00004E060000}"/>
    <cellStyle name="Total 2" xfId="210" xr:uid="{00000000-0005-0000-0000-00004F060000}"/>
    <cellStyle name="Total 2 2" xfId="1627" xr:uid="{00000000-0005-0000-0000-000050060000}"/>
    <cellStyle name="Total 2 3" xfId="1628" xr:uid="{00000000-0005-0000-0000-000051060000}"/>
    <cellStyle name="Total 2 4" xfId="1629" xr:uid="{00000000-0005-0000-0000-000052060000}"/>
    <cellStyle name="Total 3" xfId="257" xr:uid="{00000000-0005-0000-0000-000053060000}"/>
    <cellStyle name="Total 3 2" xfId="1630" xr:uid="{00000000-0005-0000-0000-000054060000}"/>
    <cellStyle name="Total 4" xfId="1083" xr:uid="{00000000-0005-0000-0000-000055060000}"/>
    <cellStyle name="Total 5" xfId="1631" xr:uid="{00000000-0005-0000-0000-000056060000}"/>
    <cellStyle name="Total 6" xfId="1632" xr:uid="{00000000-0005-0000-0000-000057060000}"/>
    <cellStyle name="Tusenskille [0]_Bok2 Diagram 1" xfId="1084" xr:uid="{00000000-0005-0000-0000-000058060000}"/>
    <cellStyle name="Tusenskille_Bok2 Diagram 1" xfId="1085" xr:uid="{00000000-0005-0000-0000-000059060000}"/>
    <cellStyle name="Tusental (0)_FINPROTHPC,Kjell H" xfId="1086" xr:uid="{00000000-0005-0000-0000-00005A060000}"/>
    <cellStyle name="Tusental_FINPROTHPC,Kjell H" xfId="1087" xr:uid="{00000000-0005-0000-0000-00005B060000}"/>
    <cellStyle name="ubordinated Debt" xfId="1088" xr:uid="{00000000-0005-0000-0000-00005C060000}"/>
    <cellStyle name="uk" xfId="1089" xr:uid="{00000000-0005-0000-0000-00005D060000}"/>
    <cellStyle name="Un" xfId="1090" xr:uid="{00000000-0005-0000-0000-00005E060000}"/>
    <cellStyle name="Underline_Double" xfId="94" xr:uid="{00000000-0005-0000-0000-00005F060000}"/>
    <cellStyle name="Unit" xfId="1091" xr:uid="{00000000-0005-0000-0000-000060060000}"/>
    <cellStyle name="Unprot" xfId="1092" xr:uid="{00000000-0005-0000-0000-000061060000}"/>
    <cellStyle name="Unprot$" xfId="1093" xr:uid="{00000000-0005-0000-0000-000062060000}"/>
    <cellStyle name="Unprotect" xfId="1094" xr:uid="{00000000-0005-0000-0000-000064060000}"/>
    <cellStyle name="valore calcolato" xfId="1095" xr:uid="{00000000-0005-0000-0000-000065060000}"/>
    <cellStyle name="Valores[2]" xfId="1096" xr:uid="{00000000-0005-0000-0000-000066060000}"/>
    <cellStyle name="Valuta (0)_ cellular Costs" xfId="1097" xr:uid="{00000000-0005-0000-0000-000067060000}"/>
    <cellStyle name="Valuta [0]_Bok2 Diagram 1" xfId="1098" xr:uid="{00000000-0005-0000-0000-000068060000}"/>
    <cellStyle name="Valuta_ cellular Costs" xfId="1099" xr:uid="{00000000-0005-0000-0000-000069060000}"/>
    <cellStyle name="Währung [0]_Vergleich" xfId="1633" xr:uid="{00000000-0005-0000-0000-00006A060000}"/>
    <cellStyle name="Währung_Vergleich" xfId="1634" xr:uid="{00000000-0005-0000-0000-00006B060000}"/>
    <cellStyle name="Warning" xfId="1100" xr:uid="{00000000-0005-0000-0000-00006C060000}"/>
    <cellStyle name="Warning Text 2" xfId="211" xr:uid="{00000000-0005-0000-0000-00006D060000}"/>
    <cellStyle name="Warning Text 3" xfId="1635" xr:uid="{00000000-0005-0000-0000-00006E060000}"/>
    <cellStyle name="WhitePattern1" xfId="1101" xr:uid="{00000000-0005-0000-0000-00006F060000}"/>
    <cellStyle name="WingDing" xfId="95" xr:uid="{00000000-0005-0000-0000-000070060000}"/>
    <cellStyle name="Wrapped" xfId="1102" xr:uid="{00000000-0005-0000-0000-000071060000}"/>
    <cellStyle name="X" xfId="1636" xr:uid="{00000000-0005-0000-0000-000072060000}"/>
    <cellStyle name="X_Cierre 04_2005 BA v1" xfId="1637" xr:uid="{00000000-0005-0000-0000-000073060000}"/>
    <cellStyle name="X_DOTACIÓNXCARGO" xfId="1638" xr:uid="{00000000-0005-0000-0000-000074060000}"/>
    <cellStyle name="X_Libro Año 2005" xfId="1639" xr:uid="{00000000-0005-0000-0000-000075060000}"/>
    <cellStyle name="X_Libro Cierre Ppto 20051(Final)" xfId="1640" xr:uid="{00000000-0005-0000-0000-000076060000}"/>
    <cellStyle name="X_Libro FCST año 2005" xfId="1641" xr:uid="{00000000-0005-0000-0000-000077060000}"/>
    <cellStyle name="X_PLANT GAC CIERRE 2005" xfId="1642" xr:uid="{00000000-0005-0000-0000-000078060000}"/>
    <cellStyle name="ࠀ_x0002_" xfId="212" xr:uid="{00000000-0005-0000-0000-000079060000}"/>
    <cellStyle name="콤마 [0]_laroux" xfId="1103" xr:uid="{00000000-0005-0000-0000-00007A060000}"/>
    <cellStyle name="콤마_laroux" xfId="1104" xr:uid="{00000000-0005-0000-0000-00007B060000}"/>
    <cellStyle name="통화 [0]_laroux" xfId="1105" xr:uid="{00000000-0005-0000-0000-00007C060000}"/>
    <cellStyle name="통화_laroux" xfId="1106" xr:uid="{00000000-0005-0000-0000-00007D060000}"/>
    <cellStyle name="표준_laroux" xfId="1107" xr:uid="{00000000-0005-0000-0000-00007E060000}"/>
    <cellStyle name="常规_Annex 6 - Sao Paulo 20W Rev9" xfId="1108" xr:uid="{00000000-0005-0000-0000-00007F060000}"/>
    <cellStyle name="標準_ITEMRIST" xfId="1643" xr:uid="{00000000-0005-0000-0000-00008006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CC00"/>
      <rgbColor rgb="00FFFF66"/>
      <rgbColor rgb="00016699"/>
      <rgbColor rgb="00999700"/>
      <rgbColor rgb="000000FF"/>
      <rgbColor rgb="00008000"/>
      <rgbColor rgb="00FF0000"/>
      <rgbColor rgb="00CCF2FC"/>
      <rgbColor rgb="00EAEBEB"/>
      <rgbColor rgb="00002D72"/>
      <rgbColor rgb="0000BDF2"/>
      <rgbColor rgb="00CB6015"/>
      <rgbColor rgb="0053565A"/>
      <rgbColor rgb="0097999B"/>
      <rgbColor rgb="00002D72"/>
      <rgbColor rgb="0099ABC7"/>
      <rgbColor rgb="0000BDF2"/>
      <rgbColor rgb="0099E4FA"/>
      <rgbColor rgb="0053565A"/>
      <rgbColor rgb="0097999B"/>
      <rgbColor rgb="0000B0B9"/>
      <rgbColor rgb="0099DFE3"/>
      <rgbColor rgb="00C99700"/>
      <rgbColor rgb="00E9D599"/>
      <rgbColor rgb="0000843D"/>
      <rgbColor rgb="0099CEB1"/>
      <rgbColor rgb="00890C58"/>
      <rgbColor rgb="00D09EBC"/>
      <rgbColor rgb="00949300"/>
      <rgbColor rgb="00D4D499"/>
      <rgbColor rgb="00007377"/>
      <rgbColor rgb="0099C7C9"/>
      <rgbColor rgb="00ED8B00"/>
      <rgbColor rgb="00F8D199"/>
      <rgbColor rgb="006B3077"/>
      <rgbColor rgb="00C4ACC9"/>
      <rgbColor rgb="0084BD00"/>
      <rgbColor rgb="00CEE599"/>
      <rgbColor rgb="00FF99FF"/>
      <rgbColor rgb="0066FF66"/>
      <rgbColor rgb="00FF9933"/>
      <rgbColor rgb="00FF5050"/>
      <rgbColor rgb="00FF7C80"/>
      <rgbColor rgb="00FF9999"/>
      <rgbColor rgb="00003366"/>
      <rgbColor rgb="00660066"/>
      <rgbColor rgb="00CCFFCC"/>
      <rgbColor rgb="00FFFF99"/>
      <rgbColor rgb="00FFFFCC"/>
      <rgbColor rgb="00FFCC99"/>
      <rgbColor rgb="00FFCCCC"/>
      <rgbColor rgb="00FF66FF"/>
      <rgbColor rgb="00CCFFFF"/>
      <rgbColor rgb="00FFCCFF"/>
    </indexedColors>
    <mruColors>
      <color rgb="FFFFFFCC"/>
      <color rgb="FF008000"/>
      <color rgb="FF002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676328502415459E-2"/>
          <c:y val="0.10404249098185098"/>
          <c:w val="0.93864734299516905"/>
          <c:h val="0.508323293597114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Charts!$C$7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rgbClr val="002D72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Charts!$E$6:$K$6</c:f>
              <c:strCache>
                <c:ptCount val="7"/>
                <c:pt idx="0">
                  <c:v>CY17A</c:v>
                </c:pt>
                <c:pt idx="1">
                  <c:v>CY18A</c:v>
                </c:pt>
                <c:pt idx="2">
                  <c:v>CY19F</c:v>
                </c:pt>
                <c:pt idx="3">
                  <c:v>CY20F</c:v>
                </c:pt>
                <c:pt idx="4">
                  <c:v>CY21F</c:v>
                </c:pt>
                <c:pt idx="5">
                  <c:v>CY22F</c:v>
                </c:pt>
                <c:pt idx="6">
                  <c:v>CY23F</c:v>
                </c:pt>
              </c:strCache>
            </c:strRef>
          </c:cat>
          <c:val>
            <c:numRef>
              <c:f>Charts!$E$7:$K$7</c:f>
              <c:numCache>
                <c:formatCode>#,##0;\(#,##0\);\-</c:formatCode>
                <c:ptCount val="7"/>
                <c:pt idx="0">
                  <c:v>158.69999999999999</c:v>
                </c:pt>
                <c:pt idx="1">
                  <c:v>208.08880070497864</c:v>
                </c:pt>
                <c:pt idx="2">
                  <c:v>270.51544091647224</c:v>
                </c:pt>
                <c:pt idx="3">
                  <c:v>324.6185290997667</c:v>
                </c:pt>
                <c:pt idx="4">
                  <c:v>357.0803820097434</c:v>
                </c:pt>
                <c:pt idx="5">
                  <c:v>392.78842021071779</c:v>
                </c:pt>
                <c:pt idx="6">
                  <c:v>432.06726223178958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D1-40C2-9C5C-6A49BF7D5052}"/>
            </c:ext>
          </c:extLst>
        </c:ser>
        <c:ser>
          <c:idx val="1"/>
          <c:order val="1"/>
          <c:tx>
            <c:strRef>
              <c:f>Charts!$C$8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99ABC7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Charts!$E$6:$K$6</c:f>
              <c:strCache>
                <c:ptCount val="7"/>
                <c:pt idx="0">
                  <c:v>CY17A</c:v>
                </c:pt>
                <c:pt idx="1">
                  <c:v>CY18A</c:v>
                </c:pt>
                <c:pt idx="2">
                  <c:v>CY19F</c:v>
                </c:pt>
                <c:pt idx="3">
                  <c:v>CY20F</c:v>
                </c:pt>
                <c:pt idx="4">
                  <c:v>CY21F</c:v>
                </c:pt>
                <c:pt idx="5">
                  <c:v>CY22F</c:v>
                </c:pt>
                <c:pt idx="6">
                  <c:v>CY23F</c:v>
                </c:pt>
              </c:strCache>
            </c:strRef>
          </c:cat>
          <c:val>
            <c:numRef>
              <c:f>Charts!$E$8:$K$8</c:f>
              <c:numCache>
                <c:formatCode>#,##0;\(#,##0\);\-</c:formatCode>
                <c:ptCount val="7"/>
                <c:pt idx="0">
                  <c:v>98.7</c:v>
                </c:pt>
                <c:pt idx="1">
                  <c:v>104.80886613075796</c:v>
                </c:pt>
                <c:pt idx="2">
                  <c:v>107.4290877840269</c:v>
                </c:pt>
                <c:pt idx="3">
                  <c:v>110.11481497862756</c:v>
                </c:pt>
                <c:pt idx="4">
                  <c:v>112.86768535309324</c:v>
                </c:pt>
                <c:pt idx="5">
                  <c:v>115.68937748692056</c:v>
                </c:pt>
                <c:pt idx="6">
                  <c:v>118.58161192409356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D1-40C2-9C5C-6A49BF7D5052}"/>
            </c:ext>
          </c:extLst>
        </c:ser>
        <c:ser>
          <c:idx val="2"/>
          <c:order val="2"/>
          <c:tx>
            <c:strRef>
              <c:f>Charts!$C$9</c:f>
              <c:strCache>
                <c:ptCount val="1"/>
                <c:pt idx="0">
                  <c:v>Label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810F2F8-8C61-4556-BF34-5D730106782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1D1-40C2-9C5C-6A49BF7D50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5B20D3-C19C-4C2C-BE6A-B47FC1F945A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D1-40C2-9C5C-6A49BF7D50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DC89C37-DE1D-427B-BDFE-8A4B10DA0BE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D1-40C2-9C5C-6A49BF7D50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2D635B-F2F1-452F-B7FB-4ED5B7FA5DC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1D1-40C2-9C5C-6A49BF7D50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9F9DDD-413A-4ACB-A9F5-05C5BD09906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D1-40C2-9C5C-6A49BF7D50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CF06B1C-B5C5-47D8-8EC1-E029AF1204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1D1-40C2-9C5C-6A49BF7D505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10F6F4-2136-4B0E-9334-B81E2DE7544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1D1-40C2-9C5C-6A49BF7D50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>
                    <a:solidFill>
                      <a:schemeClr val="accent3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Charts!$E$6:$K$6</c:f>
              <c:strCache>
                <c:ptCount val="7"/>
                <c:pt idx="0">
                  <c:v>CY17A</c:v>
                </c:pt>
                <c:pt idx="1">
                  <c:v>CY18A</c:v>
                </c:pt>
                <c:pt idx="2">
                  <c:v>CY19F</c:v>
                </c:pt>
                <c:pt idx="3">
                  <c:v>CY20F</c:v>
                </c:pt>
                <c:pt idx="4">
                  <c:v>CY21F</c:v>
                </c:pt>
                <c:pt idx="5">
                  <c:v>CY22F</c:v>
                </c:pt>
                <c:pt idx="6">
                  <c:v>CY23F</c:v>
                </c:pt>
              </c:strCache>
            </c:strRef>
          </c:cat>
          <c:val>
            <c:numRef>
              <c:f>Charts!$E$9:$K$9</c:f>
              <c:numCache>
                <c:formatCode>#,##0;\(#,##0\);\-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Charts!$E$10:$K$10</c15:f>
                <c15:dlblRangeCache>
                  <c:ptCount val="7"/>
                  <c:pt idx="0">
                    <c:v>257</c:v>
                  </c:pt>
                  <c:pt idx="1">
                    <c:v>313</c:v>
                  </c:pt>
                  <c:pt idx="2">
                    <c:v>378</c:v>
                  </c:pt>
                  <c:pt idx="3">
                    <c:v>435</c:v>
                  </c:pt>
                  <c:pt idx="4">
                    <c:v>470</c:v>
                  </c:pt>
                  <c:pt idx="5">
                    <c:v>508</c:v>
                  </c:pt>
                  <c:pt idx="6">
                    <c:v>551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1D1-40C2-9C5C-6A49BF7D5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38638687"/>
        <c:axId val="138640983"/>
      </c:barChart>
      <c:catAx>
        <c:axId val="13863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rgbClr val="53565A"/>
            </a:solidFill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640983"/>
        <c:crosses val="autoZero"/>
        <c:auto val="1"/>
        <c:lblAlgn val="ctr"/>
        <c:lblOffset val="100"/>
        <c:noMultiLvlLbl val="0"/>
      </c:catAx>
      <c:valAx>
        <c:axId val="138640983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one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63868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9496442687747035"/>
          <c:y val="0.80886151662611516"/>
          <c:w val="0.21007114624505932"/>
          <c:h val="0.1660422655281253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>
              <a:solidFill>
                <a:srgbClr val="53565A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D72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>
                    <a:solidFill>
                      <a:srgbClr val="53565A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Charts!$C$21:$C$23</c:f>
              <c:strCache>
                <c:ptCount val="3"/>
                <c:pt idx="0">
                  <c:v>DCF</c:v>
                </c:pt>
                <c:pt idx="1">
                  <c:v>Transaction / trading comps</c:v>
                </c:pt>
                <c:pt idx="2">
                  <c:v>Blended valuation</c:v>
                </c:pt>
              </c:strCache>
            </c:strRef>
          </c:cat>
          <c:val>
            <c:numRef>
              <c:f>Charts!$E$21:$E$23</c:f>
              <c:numCache>
                <c:formatCode>#,##0;\(#,##0\);\-</c:formatCode>
                <c:ptCount val="3"/>
                <c:pt idx="0">
                  <c:v>1178</c:v>
                </c:pt>
                <c:pt idx="1">
                  <c:v>660</c:v>
                </c:pt>
                <c:pt idx="2">
                  <c:v>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F7-4D78-A3A6-2C86949A3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60468448"/>
        <c:axId val="1060472056"/>
      </c:barChart>
      <c:catAx>
        <c:axId val="10604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rgbClr val="53565A"/>
            </a:solidFill>
            <a:prstDash val="solid"/>
          </a:ln>
        </c:spPr>
        <c:txPr>
          <a:bodyPr rot="0" vert="horz"/>
          <a:lstStyle/>
          <a:p>
            <a:pPr>
              <a:defRPr sz="10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0472056"/>
        <c:crosses val="autoZero"/>
        <c:auto val="1"/>
        <c:lblAlgn val="ctr"/>
        <c:lblOffset val="100"/>
        <c:noMultiLvlLbl val="0"/>
      </c:catAx>
      <c:valAx>
        <c:axId val="1060472056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one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04684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printSettings>
    <c:headerFooter/>
    <c:pageMargins b="0.75" l="0.7" r="0.7" t="0.75" header="0.3" footer="0.3"/>
    <c:pageSetup paperSize="9" orientation="portrait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8833</xdr:colOff>
      <xdr:row>11</xdr:row>
      <xdr:rowOff>132522</xdr:rowOff>
    </xdr:from>
    <xdr:to>
      <xdr:col>7</xdr:col>
      <xdr:colOff>612029</xdr:colOff>
      <xdr:row>17</xdr:row>
      <xdr:rowOff>125010</xdr:rowOff>
    </xdr:to>
    <xdr:graphicFrame macro="">
      <xdr:nvGraphicFramePr>
        <xdr:cNvPr id="2" name="STKCOL-7466720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300713</xdr:colOff>
      <xdr:row>19</xdr:row>
      <xdr:rowOff>166646</xdr:rowOff>
    </xdr:from>
    <xdr:to>
      <xdr:col>16</xdr:col>
      <xdr:colOff>254591</xdr:colOff>
      <xdr:row>29</xdr:row>
      <xdr:rowOff>108446</xdr:rowOff>
    </xdr:to>
    <xdr:graphicFrame macro="">
      <xdr:nvGraphicFramePr>
        <xdr:cNvPr id="5" name="COL-813555428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DNVNASEBT008/IBD_Financial%20Strategy/_FSG%20Europe/GoldFields/Latest%20HOCV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ravnascti017/45ac4713/Models/LBO/Gershwin%20LBO%20-%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kk77807/Desktop/Copy%20of%20LBO%20GAM%20Nov-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LDNVNASCTI0042/ibd_IBDNordics_MumbaiAnalytics/Vinit/Nordic/Project%20Aspen/PPT/Sandvik%20Comps%20v39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ndalon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 (2)US&amp;Others"/>
      <sheetName val="Spider"/>
      <sheetName val="Custom US&amp;Others"/>
      <sheetName val="Scats"/>
      <sheetName val="R-S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"/>
      <sheetName val="Summary"/>
      <sheetName val="FSG ppt"/>
      <sheetName val="Scen"/>
      <sheetName val="Deb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Ctrls"/>
      <sheetName val="Overview"/>
      <sheetName val="FinScen"/>
      <sheetName val="Summary"/>
      <sheetName val="Summary_2"/>
      <sheetName val="OpMod_1"/>
      <sheetName val="OpMod_2"/>
      <sheetName val="OpMod_3"/>
      <sheetName val="OpMod_4"/>
      <sheetName val="OpMod_5"/>
      <sheetName val="OpGraph"/>
      <sheetName val="CaseComparison"/>
      <sheetName val="IS"/>
      <sheetName val="BS"/>
      <sheetName val="CFS"/>
      <sheetName val="Dividends"/>
      <sheetName val="C&amp;D"/>
      <sheetName val="Debt"/>
      <sheetName val="S&amp;U"/>
      <sheetName val="PFCap"/>
      <sheetName val="Ret2"/>
      <sheetName val="Ret3"/>
      <sheetName val="IPO"/>
      <sheetName val="MP"/>
      <sheetName val="Rating Agencies Ratios"/>
      <sheetName val="APV"/>
      <sheetName val="VC"/>
      <sheetName val="|| Risk Memo &gt;&gt;&gt;"/>
      <sheetName val="Exec_Sum_CAM"/>
      <sheetName val="IR"/>
      <sheetName val="IRVAC"/>
      <sheetName val="CaseAssumptions"/>
      <sheetName val="LTV"/>
      <sheetName val="|| Other &gt;&gt;&gt;"/>
      <sheetName val="OpScen"/>
      <sheetName val="Ret"/>
    </sheetNames>
    <sheetDataSet>
      <sheetData sheetId="0" refreshError="1"/>
      <sheetData sheetId="1">
        <row r="8">
          <cell r="D8" t="str">
            <v>Project</v>
          </cell>
          <cell r="L8">
            <v>4</v>
          </cell>
          <cell r="T8">
            <v>5.0000000000000001E-3</v>
          </cell>
        </row>
        <row r="10">
          <cell r="D10">
            <v>42735</v>
          </cell>
        </row>
        <row r="11">
          <cell r="D11" t="str">
            <v>Fiscal Year End December 31</v>
          </cell>
        </row>
        <row r="13">
          <cell r="D13" t="str">
            <v>€</v>
          </cell>
        </row>
        <row r="14">
          <cell r="D14" t="str">
            <v>millions</v>
          </cell>
        </row>
        <row r="17">
          <cell r="L17">
            <v>7</v>
          </cell>
        </row>
        <row r="19">
          <cell r="E19">
            <v>2017</v>
          </cell>
        </row>
        <row r="20">
          <cell r="E20">
            <v>4</v>
          </cell>
        </row>
        <row r="21">
          <cell r="E21">
            <v>0</v>
          </cell>
        </row>
        <row r="22">
          <cell r="E22">
            <v>43100</v>
          </cell>
        </row>
        <row r="23">
          <cell r="S23">
            <v>0</v>
          </cell>
        </row>
        <row r="27">
          <cell r="D27">
            <v>0</v>
          </cell>
        </row>
        <row r="29">
          <cell r="L29">
            <v>0</v>
          </cell>
        </row>
        <row r="30">
          <cell r="D30">
            <v>1</v>
          </cell>
          <cell r="E30" t="str">
            <v>OpMod_1 Case</v>
          </cell>
        </row>
        <row r="31">
          <cell r="L31">
            <v>1</v>
          </cell>
        </row>
        <row r="41">
          <cell r="Q41" t="str">
            <v>OpMod_1</v>
          </cell>
        </row>
        <row r="45">
          <cell r="D45">
            <v>2</v>
          </cell>
        </row>
        <row r="53">
          <cell r="D53">
            <v>0</v>
          </cell>
        </row>
      </sheetData>
      <sheetData sheetId="2">
        <row r="5">
          <cell r="G5">
            <v>1</v>
          </cell>
        </row>
        <row r="14">
          <cell r="B14" t="str">
            <v>Term loan A</v>
          </cell>
        </row>
        <row r="15">
          <cell r="B15" t="str">
            <v>Term loan A 2</v>
          </cell>
        </row>
        <row r="16">
          <cell r="B16" t="str">
            <v>Term loan B</v>
          </cell>
        </row>
        <row r="17">
          <cell r="B17" t="str">
            <v>1st lien</v>
          </cell>
        </row>
        <row r="18">
          <cell r="B18" t="str">
            <v>Term loan C</v>
          </cell>
        </row>
        <row r="19">
          <cell r="B19" t="str">
            <v>Senior secured bond</v>
          </cell>
        </row>
        <row r="20">
          <cell r="B20" t="str">
            <v>Senior secured bond 2 / Bridge</v>
          </cell>
        </row>
        <row r="21">
          <cell r="B21" t="str">
            <v>Finance leases</v>
          </cell>
        </row>
        <row r="23">
          <cell r="B23" t="str">
            <v>2nd lien</v>
          </cell>
        </row>
        <row r="25">
          <cell r="B25" t="str">
            <v>Mezzanine</v>
          </cell>
        </row>
        <row r="26">
          <cell r="B26" t="str">
            <v>Unsecured notes</v>
          </cell>
        </row>
        <row r="27">
          <cell r="B27" t="str">
            <v>Floating rate notes</v>
          </cell>
        </row>
        <row r="28">
          <cell r="B28" t="str">
            <v>Other existing debt</v>
          </cell>
        </row>
        <row r="30">
          <cell r="B30" t="str">
            <v>PIK</v>
          </cell>
        </row>
        <row r="32">
          <cell r="B32" t="str">
            <v>Vendor note</v>
          </cell>
        </row>
        <row r="33">
          <cell r="B33" t="str">
            <v>Shareholder loans</v>
          </cell>
        </row>
        <row r="75">
          <cell r="Y75">
            <v>1</v>
          </cell>
        </row>
      </sheetData>
      <sheetData sheetId="3">
        <row r="10">
          <cell r="BA10" t="str">
            <v>SCENARIO 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B18" t="str">
            <v>Reported EBITDA</v>
          </cell>
        </row>
      </sheetData>
      <sheetData sheetId="14" refreshError="1"/>
      <sheetData sheetId="15">
        <row r="13">
          <cell r="H13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E14">
            <v>0</v>
          </cell>
        </row>
        <row r="15">
          <cell r="E15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 Buildout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Index"/>
      <sheetName val="Sum"/>
      <sheetName val="Firm Value"/>
      <sheetName val="Premium"/>
      <sheetName val="Shares Outstanding"/>
      <sheetName val="Assump"/>
      <sheetName val="LTM"/>
      <sheetName val="P&amp;L"/>
      <sheetName val="BS"/>
      <sheetName val="CFS"/>
      <sheetName val="Depr"/>
      <sheetName val="Amort"/>
      <sheetName val="Debt"/>
      <sheetName val="Conv. Debt"/>
      <sheetName val="Preferred"/>
      <sheetName val="Conv. Pref."/>
      <sheetName val="Options"/>
      <sheetName val="Tax"/>
      <sheetName val="Comps"/>
      <sheetName val="DCF_10"/>
      <sheetName val="DCF_5"/>
      <sheetName val="LBO"/>
      <sheetName val="EVA"/>
      <sheetName val="Print Controls"/>
      <sheetName val="PrintMacro"/>
      <sheetName val="DebtMacro"/>
      <sheetName val="Module1"/>
      <sheetName val="Sheet1"/>
      <sheetName val="Recap"/>
      <sheetName val="HighYield"/>
      <sheetName val="Check"/>
      <sheetName val="StartUp"/>
      <sheetName val="FeaturesDescription"/>
      <sheetName val="DCF (Controllers)"/>
      <sheetName val="Control"/>
      <sheetName val="Comp P&amp;L"/>
      <sheetName val="County"/>
      <sheetName val="Consolidated"/>
    </sheetNames>
    <sheetDataSet>
      <sheetData sheetId="0" refreshError="1">
        <row r="6">
          <cell r="C6" t="str">
            <v>Company</v>
          </cell>
        </row>
        <row r="24">
          <cell r="C2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ICG">
      <a:dk1>
        <a:sysClr val="windowText" lastClr="000000"/>
      </a:dk1>
      <a:lt1>
        <a:sysClr val="window" lastClr="FFFFFF"/>
      </a:lt1>
      <a:dk2>
        <a:srgbClr val="CCF2FC"/>
      </a:dk2>
      <a:lt2>
        <a:srgbClr val="EAEBEB"/>
      </a:lt2>
      <a:accent1>
        <a:srgbClr val="002D72"/>
      </a:accent1>
      <a:accent2>
        <a:srgbClr val="00BDF2"/>
      </a:accent2>
      <a:accent3>
        <a:srgbClr val="53565A"/>
      </a:accent3>
      <a:accent4>
        <a:srgbClr val="97999B"/>
      </a:accent4>
      <a:accent5>
        <a:srgbClr val="CB6015"/>
      </a:accent5>
      <a:accent6>
        <a:srgbClr val="FFFFFF"/>
      </a:accent6>
      <a:hlink>
        <a:srgbClr val="00BDF2"/>
      </a:hlink>
      <a:folHlink>
        <a:srgbClr val="00BDF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27"/>
  <sheetViews>
    <sheetView showGridLines="0" zoomScaleNormal="100" workbookViewId="0">
      <selection activeCell="H23" sqref="H23"/>
    </sheetView>
  </sheetViews>
  <sheetFormatPr defaultColWidth="8.77734375" defaultRowHeight="14.4"/>
  <cols>
    <col min="1" max="2" width="3.6640625" customWidth="1"/>
    <col min="3" max="3" width="23.77734375" customWidth="1"/>
    <col min="4" max="4" width="8.44140625" customWidth="1"/>
    <col min="5" max="5" width="9" customWidth="1"/>
    <col min="6" max="6" width="8.77734375" customWidth="1"/>
    <col min="7" max="8" width="9.109375" customWidth="1"/>
    <col min="9" max="12" width="8.44140625" customWidth="1"/>
    <col min="13" max="14" width="9.109375" customWidth="1"/>
  </cols>
  <sheetData>
    <row r="2" spans="2:23" s="14" customFormat="1" ht="10.199999999999999">
      <c r="B2" s="96" t="s">
        <v>38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3" spans="2:23" s="14" customFormat="1" ht="10.199999999999999"/>
    <row r="4" spans="2:23" s="29" customFormat="1" ht="10.199999999999999">
      <c r="B4" s="28" t="s">
        <v>39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6" spans="2:23">
      <c r="E6" s="33" t="s">
        <v>40</v>
      </c>
      <c r="F6" s="33" t="s">
        <v>41</v>
      </c>
      <c r="G6" s="33" t="s">
        <v>42</v>
      </c>
      <c r="H6" s="33" t="s">
        <v>43</v>
      </c>
      <c r="I6" s="33" t="s">
        <v>44</v>
      </c>
      <c r="J6" s="33" t="s">
        <v>45</v>
      </c>
      <c r="K6" s="33" t="s">
        <v>46</v>
      </c>
      <c r="L6" s="33" t="s">
        <v>52</v>
      </c>
    </row>
    <row r="7" spans="2:23">
      <c r="C7" s="97" t="s">
        <v>47</v>
      </c>
      <c r="D7" s="98" t="s">
        <v>22</v>
      </c>
      <c r="E7" s="33">
        <f>+DCF!H18</f>
        <v>158.69999999999999</v>
      </c>
      <c r="F7" s="33">
        <f>+DCF!I18</f>
        <v>208.08880070497864</v>
      </c>
      <c r="G7" s="33">
        <f>+DCF!J18</f>
        <v>270.51544091647224</v>
      </c>
      <c r="H7" s="33">
        <f>+DCF!K18</f>
        <v>324.6185290997667</v>
      </c>
      <c r="I7" s="33">
        <f>+DCF!L18</f>
        <v>357.0803820097434</v>
      </c>
      <c r="J7" s="33">
        <f>+DCF!M18</f>
        <v>392.78842021071779</v>
      </c>
      <c r="K7" s="33">
        <f>+DCF!N18</f>
        <v>432.06726223178958</v>
      </c>
    </row>
    <row r="8" spans="2:23">
      <c r="C8" s="97" t="s">
        <v>48</v>
      </c>
      <c r="D8" s="98" t="s">
        <v>22</v>
      </c>
      <c r="E8" s="33">
        <f>+DCF!H20</f>
        <v>98.7</v>
      </c>
      <c r="F8" s="33">
        <f>+DCF!I20</f>
        <v>104.80886613075796</v>
      </c>
      <c r="G8" s="33">
        <f>+DCF!J20</f>
        <v>107.4290877840269</v>
      </c>
      <c r="H8" s="33">
        <f>+DCF!K20</f>
        <v>110.11481497862756</v>
      </c>
      <c r="I8" s="33">
        <f>+DCF!L20</f>
        <v>112.86768535309324</v>
      </c>
      <c r="J8" s="33">
        <f>+DCF!M20</f>
        <v>115.68937748692056</v>
      </c>
      <c r="K8" s="33">
        <f>+DCF!N20</f>
        <v>118.58161192409356</v>
      </c>
    </row>
    <row r="9" spans="2:23">
      <c r="C9" s="97" t="s">
        <v>49</v>
      </c>
      <c r="D9" s="98" t="s">
        <v>50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</row>
    <row r="10" spans="2:23">
      <c r="C10" s="97" t="s">
        <v>51</v>
      </c>
      <c r="D10" s="98" t="s">
        <v>22</v>
      </c>
      <c r="E10" s="38">
        <f>SUM(E7:E8)</f>
        <v>257.39999999999998</v>
      </c>
      <c r="F10" s="38">
        <f t="shared" ref="F10:K10" si="0">SUM(F7:F8)</f>
        <v>312.89766683573657</v>
      </c>
      <c r="G10" s="38">
        <f t="shared" si="0"/>
        <v>377.94452870049918</v>
      </c>
      <c r="H10" s="38">
        <f t="shared" si="0"/>
        <v>434.73334407839428</v>
      </c>
      <c r="I10" s="38">
        <f t="shared" si="0"/>
        <v>469.94806736283664</v>
      </c>
      <c r="J10" s="38">
        <f t="shared" si="0"/>
        <v>508.47779769763838</v>
      </c>
      <c r="K10" s="38">
        <f t="shared" si="0"/>
        <v>550.64887415588316</v>
      </c>
      <c r="L10" s="99">
        <f>(K10/G10)^(1/4)-1</f>
        <v>9.8655851757843749E-2</v>
      </c>
    </row>
    <row r="19" spans="2:23" s="29" customFormat="1" ht="10.199999999999999">
      <c r="B19" s="28" t="s">
        <v>58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2:23">
      <c r="E20" s="33"/>
      <c r="F20" s="33"/>
      <c r="G20" s="33"/>
      <c r="H20" s="33"/>
      <c r="I20" s="33"/>
      <c r="J20" s="33"/>
      <c r="K20" s="33"/>
      <c r="L20" s="33"/>
    </row>
    <row r="21" spans="2:23">
      <c r="C21" s="97" t="s">
        <v>5</v>
      </c>
      <c r="D21" s="98" t="s">
        <v>22</v>
      </c>
      <c r="E21" s="33">
        <v>1178</v>
      </c>
      <c r="F21" s="147">
        <v>14.3</v>
      </c>
      <c r="G21" s="33"/>
      <c r="H21" s="33"/>
      <c r="I21" s="33"/>
      <c r="J21" s="33"/>
      <c r="K21" s="33"/>
      <c r="L21" s="34"/>
    </row>
    <row r="22" spans="2:23">
      <c r="C22" s="97" t="s">
        <v>59</v>
      </c>
      <c r="D22" s="98" t="s">
        <v>22</v>
      </c>
      <c r="E22" s="33">
        <v>660</v>
      </c>
      <c r="F22" s="147">
        <v>11</v>
      </c>
    </row>
    <row r="23" spans="2:23">
      <c r="C23" s="97" t="s">
        <v>60</v>
      </c>
      <c r="D23" s="98" t="s">
        <v>22</v>
      </c>
      <c r="E23" s="33">
        <f>AVERAGE(E21:E22)</f>
        <v>919</v>
      </c>
      <c r="F23" s="147">
        <f>AVERAGE(F21:F22)</f>
        <v>12.65</v>
      </c>
    </row>
    <row r="25" spans="2:23">
      <c r="C25" s="97"/>
      <c r="D25" s="98"/>
      <c r="E25" s="33"/>
      <c r="F25" s="147"/>
    </row>
    <row r="26" spans="2:23">
      <c r="C26" s="97"/>
      <c r="D26" s="98"/>
      <c r="E26" s="33"/>
      <c r="F26" s="147"/>
    </row>
    <row r="27" spans="2:23">
      <c r="C27" s="97"/>
      <c r="D27" s="98"/>
      <c r="E27" s="33"/>
      <c r="F27" s="147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109"/>
  <sheetViews>
    <sheetView showGridLines="0" tabSelected="1" topLeftCell="A35" zoomScaleNormal="100" workbookViewId="0">
      <selection activeCell="N66" sqref="N66"/>
    </sheetView>
  </sheetViews>
  <sheetFormatPr defaultColWidth="9.109375" defaultRowHeight="10.199999999999999" outlineLevelRow="1" outlineLevelCol="1"/>
  <cols>
    <col min="1" max="2" width="3.6640625" style="14" customWidth="1"/>
    <col min="3" max="3" width="20.6640625" style="14" customWidth="1"/>
    <col min="4" max="4" width="8.44140625" style="14" customWidth="1" outlineLevel="1"/>
    <col min="5" max="5" width="9" style="14" customWidth="1" outlineLevel="1"/>
    <col min="6" max="6" width="8.77734375" style="14" customWidth="1" outlineLevel="1"/>
    <col min="7" max="8" width="9.109375" style="14" customWidth="1" outlineLevel="1"/>
    <col min="9" max="9" width="8.44140625" style="14" customWidth="1" outlineLevel="1"/>
    <col min="10" max="14" width="7.6640625" style="14" customWidth="1"/>
    <col min="15" max="15" width="14.77734375" style="14" bestFit="1" customWidth="1"/>
    <col min="16" max="16384" width="9.109375" style="14"/>
  </cols>
  <sheetData>
    <row r="2" spans="2:23">
      <c r="B2" s="96" t="s">
        <v>66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4" spans="2:23" s="29" customFormat="1">
      <c r="B4" s="28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6" spans="2:23">
      <c r="C6" s="15" t="s">
        <v>14</v>
      </c>
      <c r="D6" s="30" t="s">
        <v>23</v>
      </c>
      <c r="E6" s="150">
        <v>0.32</v>
      </c>
    </row>
    <row r="7" spans="2:23">
      <c r="C7" s="15" t="s">
        <v>31</v>
      </c>
      <c r="D7" s="30" t="s">
        <v>36</v>
      </c>
      <c r="E7" s="95">
        <v>43606</v>
      </c>
    </row>
    <row r="8" spans="2:23">
      <c r="C8" s="15" t="s">
        <v>3</v>
      </c>
      <c r="D8" s="30" t="s">
        <v>36</v>
      </c>
      <c r="E8" s="95">
        <v>43830</v>
      </c>
    </row>
    <row r="9" spans="2:23">
      <c r="C9" s="15" t="s">
        <v>34</v>
      </c>
      <c r="D9" s="30" t="s">
        <v>35</v>
      </c>
      <c r="E9" s="94">
        <f>YEARFRAC(E7,E8)</f>
        <v>0.61111111111111116</v>
      </c>
    </row>
    <row r="10" spans="2:23">
      <c r="C10" s="14" t="s">
        <v>4</v>
      </c>
      <c r="D10" s="30" t="s">
        <v>23</v>
      </c>
      <c r="E10" s="150">
        <v>0.09</v>
      </c>
    </row>
    <row r="11" spans="2:23">
      <c r="C11" s="14" t="s">
        <v>33</v>
      </c>
      <c r="D11" s="30" t="s">
        <v>23</v>
      </c>
      <c r="E11" s="151">
        <v>2.5000000000000001E-2</v>
      </c>
    </row>
    <row r="13" spans="2:23" s="29" customFormat="1">
      <c r="B13" s="28" t="s">
        <v>16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2:23">
      <c r="E14" s="61"/>
      <c r="F14" s="61"/>
      <c r="G14" s="61"/>
      <c r="H14" s="62"/>
      <c r="I14" s="62"/>
    </row>
    <row r="16" spans="2:23">
      <c r="E16" s="89" t="s">
        <v>67</v>
      </c>
      <c r="F16" s="89"/>
      <c r="G16" s="89"/>
      <c r="H16" s="89"/>
      <c r="I16" s="91"/>
      <c r="J16" s="90" t="s">
        <v>24</v>
      </c>
      <c r="K16" s="90"/>
      <c r="L16" s="90"/>
      <c r="M16" s="90"/>
      <c r="N16" s="90"/>
    </row>
    <row r="17" spans="3:14">
      <c r="C17" s="39" t="s">
        <v>26</v>
      </c>
      <c r="D17" s="40"/>
      <c r="E17" s="57">
        <v>42004</v>
      </c>
      <c r="F17" s="57">
        <f>EDATE(E17,12)</f>
        <v>42369</v>
      </c>
      <c r="G17" s="57">
        <f t="shared" ref="G17:N17" si="0">EDATE(F17,12)</f>
        <v>42735</v>
      </c>
      <c r="H17" s="57">
        <f t="shared" si="0"/>
        <v>43100</v>
      </c>
      <c r="I17" s="57">
        <f t="shared" si="0"/>
        <v>43465</v>
      </c>
      <c r="J17" s="58">
        <f t="shared" si="0"/>
        <v>43830</v>
      </c>
      <c r="K17" s="58">
        <f t="shared" si="0"/>
        <v>44196</v>
      </c>
      <c r="L17" s="58">
        <f t="shared" si="0"/>
        <v>44561</v>
      </c>
      <c r="M17" s="58">
        <f t="shared" si="0"/>
        <v>44926</v>
      </c>
      <c r="N17" s="58">
        <f t="shared" si="0"/>
        <v>45291</v>
      </c>
    </row>
    <row r="18" spans="3:14">
      <c r="C18" s="14" t="s">
        <v>8</v>
      </c>
      <c r="D18" s="30" t="s">
        <v>22</v>
      </c>
      <c r="E18" s="59">
        <v>8</v>
      </c>
      <c r="F18" s="59">
        <v>41.4</v>
      </c>
      <c r="G18" s="59">
        <v>97</v>
      </c>
      <c r="H18" s="59">
        <v>158.69999999999999</v>
      </c>
      <c r="I18" s="59">
        <v>208.08880070497864</v>
      </c>
      <c r="J18" s="33">
        <f>+I18*(1+J19)</f>
        <v>270.51544091647224</v>
      </c>
      <c r="K18" s="33">
        <f t="shared" ref="K18:N18" si="1">+J18*(1+K19)</f>
        <v>324.6185290997667</v>
      </c>
      <c r="L18" s="33">
        <f t="shared" si="1"/>
        <v>357.0803820097434</v>
      </c>
      <c r="M18" s="33">
        <f t="shared" si="1"/>
        <v>392.78842021071779</v>
      </c>
      <c r="N18" s="33">
        <f t="shared" si="1"/>
        <v>432.06726223178958</v>
      </c>
    </row>
    <row r="19" spans="3:14">
      <c r="C19" s="35" t="s">
        <v>18</v>
      </c>
      <c r="D19" s="30" t="s">
        <v>23</v>
      </c>
      <c r="E19" s="32"/>
      <c r="F19" s="36">
        <f>+F18/E18-1</f>
        <v>4.1749999999999998</v>
      </c>
      <c r="G19" s="36">
        <f t="shared" ref="G19:I19" si="2">+G18/F18-1</f>
        <v>1.3429951690821258</v>
      </c>
      <c r="H19" s="36">
        <f t="shared" si="2"/>
        <v>0.63608247422680408</v>
      </c>
      <c r="I19" s="36">
        <f t="shared" si="2"/>
        <v>0.31120857407043889</v>
      </c>
      <c r="J19" s="148">
        <v>0.3</v>
      </c>
      <c r="K19" s="148">
        <v>0.2</v>
      </c>
      <c r="L19" s="148">
        <v>0.1</v>
      </c>
      <c r="M19" s="34">
        <f>+L19</f>
        <v>0.1</v>
      </c>
      <c r="N19" s="34">
        <f>+M19</f>
        <v>0.1</v>
      </c>
    </row>
    <row r="20" spans="3:14">
      <c r="C20" s="14" t="s">
        <v>9</v>
      </c>
      <c r="D20" s="30" t="s">
        <v>22</v>
      </c>
      <c r="E20" s="59">
        <v>113.5</v>
      </c>
      <c r="F20" s="59">
        <v>102.3</v>
      </c>
      <c r="G20" s="59">
        <v>94.2</v>
      </c>
      <c r="H20" s="59">
        <v>98.7</v>
      </c>
      <c r="I20" s="59">
        <v>104.80886613075796</v>
      </c>
      <c r="J20" s="33">
        <f>+I20*(1+J21)</f>
        <v>107.4290877840269</v>
      </c>
      <c r="K20" s="33">
        <f t="shared" ref="K20" si="3">+J20*(1+K21)</f>
        <v>110.11481497862756</v>
      </c>
      <c r="L20" s="33">
        <f t="shared" ref="L20" si="4">+K20*(1+L21)</f>
        <v>112.86768535309324</v>
      </c>
      <c r="M20" s="33">
        <f t="shared" ref="M20" si="5">+L20*(1+M21)</f>
        <v>115.68937748692056</v>
      </c>
      <c r="N20" s="33">
        <f t="shared" ref="N20" si="6">+M20*(1+N21)</f>
        <v>118.58161192409356</v>
      </c>
    </row>
    <row r="21" spans="3:14">
      <c r="C21" s="49" t="s">
        <v>18</v>
      </c>
      <c r="D21" s="50" t="s">
        <v>23</v>
      </c>
      <c r="E21" s="51"/>
      <c r="F21" s="52">
        <f>+F20/E20-1</f>
        <v>-9.8678414096916356E-2</v>
      </c>
      <c r="G21" s="52">
        <f t="shared" ref="G21" si="7">+G20/F20-1</f>
        <v>-7.9178885630498463E-2</v>
      </c>
      <c r="H21" s="52">
        <f t="shared" ref="H21" si="8">+H20/G20-1</f>
        <v>4.7770700636942776E-2</v>
      </c>
      <c r="I21" s="52">
        <f t="shared" ref="I21" si="9">+I20/H20-1</f>
        <v>6.1893273867861698E-2</v>
      </c>
      <c r="J21" s="149">
        <v>2.5000000000000001E-2</v>
      </c>
      <c r="K21" s="56">
        <f>+J21</f>
        <v>2.5000000000000001E-2</v>
      </c>
      <c r="L21" s="56">
        <f t="shared" ref="L21:N21" si="10">+K21</f>
        <v>2.5000000000000001E-2</v>
      </c>
      <c r="M21" s="56">
        <f t="shared" si="10"/>
        <v>2.5000000000000001E-2</v>
      </c>
      <c r="N21" s="56">
        <f t="shared" si="10"/>
        <v>2.5000000000000001E-2</v>
      </c>
    </row>
    <row r="22" spans="3:14">
      <c r="C22" s="31" t="s">
        <v>10</v>
      </c>
      <c r="D22" s="37" t="s">
        <v>22</v>
      </c>
      <c r="E22" s="38">
        <f>+E18+E20</f>
        <v>121.5</v>
      </c>
      <c r="F22" s="38">
        <f t="shared" ref="F22:N22" si="11">+F18+F20</f>
        <v>143.69999999999999</v>
      </c>
      <c r="G22" s="38">
        <f t="shared" si="11"/>
        <v>191.2</v>
      </c>
      <c r="H22" s="38">
        <f t="shared" si="11"/>
        <v>257.39999999999998</v>
      </c>
      <c r="I22" s="38">
        <f t="shared" si="11"/>
        <v>312.89766683573657</v>
      </c>
      <c r="J22" s="38">
        <f t="shared" si="11"/>
        <v>377.94452870049918</v>
      </c>
      <c r="K22" s="38">
        <f t="shared" si="11"/>
        <v>434.73334407839428</v>
      </c>
      <c r="L22" s="38">
        <f t="shared" si="11"/>
        <v>469.94806736283664</v>
      </c>
      <c r="M22" s="38">
        <f t="shared" si="11"/>
        <v>508.47779769763838</v>
      </c>
      <c r="N22" s="38">
        <f t="shared" si="11"/>
        <v>550.64887415588316</v>
      </c>
    </row>
    <row r="23" spans="3:14">
      <c r="C23" s="35" t="s">
        <v>18</v>
      </c>
      <c r="D23" s="30" t="s">
        <v>23</v>
      </c>
      <c r="E23" s="32"/>
      <c r="F23" s="36">
        <f>+F22/E22-1</f>
        <v>0.18271604938271602</v>
      </c>
      <c r="G23" s="36">
        <f t="shared" ref="G23" si="12">+G22/F22-1</f>
        <v>0.33054975643702167</v>
      </c>
      <c r="H23" s="36">
        <f t="shared" ref="H23" si="13">+H22/G22-1</f>
        <v>0.34623430962343082</v>
      </c>
      <c r="I23" s="36">
        <f t="shared" ref="I23" si="14">+I22/H22-1</f>
        <v>0.215608651265488</v>
      </c>
      <c r="J23" s="36">
        <f t="shared" ref="J23" si="15">+J22/I22-1</f>
        <v>0.20788541673246352</v>
      </c>
      <c r="K23" s="36">
        <f t="shared" ref="K23" si="16">+K22/J22-1</f>
        <v>0.15025701145391412</v>
      </c>
      <c r="L23" s="36">
        <f t="shared" ref="L23" si="17">+L22/K22-1</f>
        <v>8.1003041897085737E-2</v>
      </c>
      <c r="M23" s="36">
        <f t="shared" ref="M23" si="18">+M22/L22-1</f>
        <v>8.1987208822914104E-2</v>
      </c>
      <c r="N23" s="36">
        <f t="shared" ref="N23" si="19">+N22/M22-1</f>
        <v>8.2935924929649296E-2</v>
      </c>
    </row>
    <row r="24" spans="3:14">
      <c r="C24" s="54" t="s">
        <v>11</v>
      </c>
      <c r="D24" s="50" t="s">
        <v>22</v>
      </c>
      <c r="E24" s="53">
        <f>+E25-E22</f>
        <v>-84.8</v>
      </c>
      <c r="F24" s="53">
        <f t="shared" ref="F24:I24" si="20">+F25-F22</f>
        <v>-133.89999999999998</v>
      </c>
      <c r="G24" s="53">
        <f t="shared" si="20"/>
        <v>-152.19999999999999</v>
      </c>
      <c r="H24" s="53">
        <f t="shared" si="20"/>
        <v>-196.79999999999998</v>
      </c>
      <c r="I24" s="53">
        <f t="shared" si="20"/>
        <v>-230.48743648350228</v>
      </c>
      <c r="J24" s="53">
        <f t="shared" ref="J24" si="21">+J25-J22</f>
        <v>-283.45839652537438</v>
      </c>
      <c r="K24" s="53">
        <f t="shared" ref="K24" si="22">+K25-K22</f>
        <v>-326.0500080587957</v>
      </c>
      <c r="L24" s="53">
        <f t="shared" ref="L24" si="23">+L25-L22</f>
        <v>-352.46105052212749</v>
      </c>
      <c r="M24" s="53">
        <f t="shared" ref="M24" si="24">+M25-M22</f>
        <v>-381.35834827322878</v>
      </c>
      <c r="N24" s="53">
        <f t="shared" ref="N24" si="25">+N25-N22</f>
        <v>-412.98665561691234</v>
      </c>
    </row>
    <row r="25" spans="3:14">
      <c r="C25" s="31" t="s">
        <v>0</v>
      </c>
      <c r="D25" s="37" t="s">
        <v>22</v>
      </c>
      <c r="E25" s="60">
        <v>36.700000000000003</v>
      </c>
      <c r="F25" s="60">
        <v>9.8000000000000007</v>
      </c>
      <c r="G25" s="60">
        <v>39</v>
      </c>
      <c r="H25" s="60">
        <v>60.6</v>
      </c>
      <c r="I25" s="60">
        <v>82.410230352234308</v>
      </c>
      <c r="J25" s="38">
        <f>+J26*J22</f>
        <v>94.486132175124794</v>
      </c>
      <c r="K25" s="38">
        <f t="shared" ref="K25:N25" si="26">+K26*K22</f>
        <v>108.68333601959857</v>
      </c>
      <c r="L25" s="38">
        <f t="shared" si="26"/>
        <v>117.48701684070916</v>
      </c>
      <c r="M25" s="38">
        <f t="shared" si="26"/>
        <v>127.11944942440959</v>
      </c>
      <c r="N25" s="38">
        <f t="shared" si="26"/>
        <v>137.66221853897079</v>
      </c>
    </row>
    <row r="26" spans="3:14">
      <c r="C26" s="49" t="s">
        <v>20</v>
      </c>
      <c r="D26" s="50" t="s">
        <v>23</v>
      </c>
      <c r="E26" s="52">
        <f>+E25/E22</f>
        <v>0.30205761316872431</v>
      </c>
      <c r="F26" s="52">
        <f t="shared" ref="F26:I26" si="27">+F25/F22</f>
        <v>6.819763395963814E-2</v>
      </c>
      <c r="G26" s="52">
        <f t="shared" si="27"/>
        <v>0.20397489539748956</v>
      </c>
      <c r="H26" s="52">
        <f t="shared" si="27"/>
        <v>0.23543123543123545</v>
      </c>
      <c r="I26" s="52">
        <f t="shared" si="27"/>
        <v>0.26337758023455515</v>
      </c>
      <c r="J26" s="149">
        <v>0.25</v>
      </c>
      <c r="K26" s="56">
        <f>+J26</f>
        <v>0.25</v>
      </c>
      <c r="L26" s="56">
        <f t="shared" ref="L26:N26" si="28">+K26</f>
        <v>0.25</v>
      </c>
      <c r="M26" s="56">
        <f t="shared" si="28"/>
        <v>0.25</v>
      </c>
      <c r="N26" s="56">
        <f t="shared" si="28"/>
        <v>0.25</v>
      </c>
    </row>
    <row r="27" spans="3:14">
      <c r="C27" s="92" t="s">
        <v>19</v>
      </c>
      <c r="D27" s="93" t="s">
        <v>22</v>
      </c>
      <c r="E27" s="38">
        <f>+E29-E25</f>
        <v>-1.3000000000000043</v>
      </c>
      <c r="F27" s="38">
        <f t="shared" ref="F27:I27" si="29">+F29-F25</f>
        <v>-2.7000000000000011</v>
      </c>
      <c r="G27" s="38">
        <f t="shared" si="29"/>
        <v>-4.8999999999999986</v>
      </c>
      <c r="H27" s="38">
        <f t="shared" si="29"/>
        <v>-3.6084684647948748</v>
      </c>
      <c r="I27" s="38">
        <f t="shared" si="29"/>
        <v>-3.777000000000001</v>
      </c>
      <c r="J27" s="38">
        <f>+I27*(1+$J$28)</f>
        <v>-3.9658500000000014</v>
      </c>
      <c r="K27" s="38">
        <f t="shared" ref="K27:N27" si="30">+J27*(1+$J$28)</f>
        <v>-4.1641425000000014</v>
      </c>
      <c r="L27" s="38">
        <f t="shared" si="30"/>
        <v>-4.3723496250000018</v>
      </c>
      <c r="M27" s="38">
        <f t="shared" si="30"/>
        <v>-4.5909671062500017</v>
      </c>
      <c r="N27" s="38">
        <f t="shared" si="30"/>
        <v>-4.8205154615625023</v>
      </c>
    </row>
    <row r="28" spans="3:14">
      <c r="C28" s="49" t="s">
        <v>18</v>
      </c>
      <c r="D28" s="50" t="s">
        <v>23</v>
      </c>
      <c r="E28" s="51"/>
      <c r="F28" s="52">
        <f>+F27/E27-1</f>
        <v>1.0769230769230709</v>
      </c>
      <c r="G28" s="52">
        <f t="shared" ref="G28:I28" si="31">+G27/F27-1</f>
        <v>0.81481481481481355</v>
      </c>
      <c r="H28" s="52">
        <f t="shared" si="31"/>
        <v>-0.26357786432757635</v>
      </c>
      <c r="I28" s="52">
        <f t="shared" si="31"/>
        <v>4.6704450059453784E-2</v>
      </c>
      <c r="J28" s="148">
        <v>0.05</v>
      </c>
      <c r="K28" s="56">
        <f>+J28</f>
        <v>0.05</v>
      </c>
      <c r="L28" s="56">
        <f t="shared" ref="L28:N28" si="32">+K28</f>
        <v>0.05</v>
      </c>
      <c r="M28" s="56">
        <f t="shared" si="32"/>
        <v>0.05</v>
      </c>
      <c r="N28" s="56">
        <f t="shared" si="32"/>
        <v>0.05</v>
      </c>
    </row>
    <row r="29" spans="3:14">
      <c r="C29" s="31" t="s">
        <v>1</v>
      </c>
      <c r="D29" s="37" t="s">
        <v>22</v>
      </c>
      <c r="E29" s="60">
        <v>35.4</v>
      </c>
      <c r="F29" s="60">
        <v>7.1</v>
      </c>
      <c r="G29" s="60">
        <v>34.1</v>
      </c>
      <c r="H29" s="60">
        <v>56.991531535205127</v>
      </c>
      <c r="I29" s="60">
        <v>78.633230352234307</v>
      </c>
      <c r="J29" s="38">
        <f>+J25+J27</f>
        <v>90.520282175124791</v>
      </c>
      <c r="K29" s="38">
        <f t="shared" ref="K29:N29" si="33">+K25+K27</f>
        <v>104.51919351959857</v>
      </c>
      <c r="L29" s="38">
        <f t="shared" si="33"/>
        <v>113.11466721570916</v>
      </c>
      <c r="M29" s="38">
        <f t="shared" si="33"/>
        <v>122.52848231815959</v>
      </c>
      <c r="N29" s="38">
        <f t="shared" si="33"/>
        <v>132.84170307740828</v>
      </c>
    </row>
    <row r="30" spans="3:14">
      <c r="C30" s="41" t="s">
        <v>18</v>
      </c>
      <c r="D30" s="42" t="s">
        <v>23</v>
      </c>
      <c r="E30" s="43"/>
      <c r="F30" s="44">
        <f>+F29/E29-1</f>
        <v>-0.79943502824858759</v>
      </c>
      <c r="G30" s="44">
        <f t="shared" ref="G30" si="34">+G29/F29-1</f>
        <v>3.802816901408451</v>
      </c>
      <c r="H30" s="44">
        <f t="shared" ref="H30" si="35">+H29/G29-1</f>
        <v>0.67130591012331742</v>
      </c>
      <c r="I30" s="44">
        <f t="shared" ref="I30" si="36">+I29/H29-1</f>
        <v>0.3797353437266473</v>
      </c>
      <c r="J30" s="44">
        <f t="shared" ref="J30" si="37">+J29/I29-1</f>
        <v>0.15117084430644567</v>
      </c>
      <c r="K30" s="44">
        <f t="shared" ref="K30" si="38">+K29/J29-1</f>
        <v>0.15464944439071493</v>
      </c>
      <c r="L30" s="44">
        <f t="shared" ref="L30" si="39">+L29/K29-1</f>
        <v>8.2238232105176223E-2</v>
      </c>
      <c r="M30" s="44">
        <f t="shared" ref="M30" si="40">+M29/L29-1</f>
        <v>8.3223646713280086E-2</v>
      </c>
      <c r="N30" s="44">
        <f t="shared" ref="N30" si="41">+N29/M29-1</f>
        <v>8.416998696245348E-2</v>
      </c>
    </row>
    <row r="31" spans="3:14">
      <c r="D31" s="30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3:14">
      <c r="D32" s="30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2:23">
      <c r="C33" s="55" t="s">
        <v>25</v>
      </c>
      <c r="D33" s="42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2:23">
      <c r="C34" s="31" t="s">
        <v>21</v>
      </c>
      <c r="D34" s="37" t="s">
        <v>22</v>
      </c>
      <c r="E34" s="48"/>
      <c r="F34" s="48"/>
      <c r="G34" s="48"/>
      <c r="H34" s="59">
        <v>-4.8238899422465398</v>
      </c>
      <c r="I34" s="59">
        <v>-1.3384422727526477</v>
      </c>
      <c r="J34" s="33">
        <f>+J35*J22</f>
        <v>-4.5353343444059906</v>
      </c>
      <c r="K34" s="33">
        <f>+K35*K22</f>
        <v>-5.2168001289407311</v>
      </c>
      <c r="L34" s="33">
        <f>+L35*L22</f>
        <v>-5.6393768083540401</v>
      </c>
      <c r="M34" s="33">
        <f>+M35*M22</f>
        <v>-6.1017335723716606</v>
      </c>
      <c r="N34" s="33">
        <f>+N35*N22</f>
        <v>-6.6077864898705982</v>
      </c>
    </row>
    <row r="35" spans="2:23">
      <c r="C35" s="63" t="s">
        <v>6</v>
      </c>
      <c r="D35" s="30" t="s">
        <v>23</v>
      </c>
      <c r="E35" s="48"/>
      <c r="F35" s="48"/>
      <c r="G35" s="48"/>
      <c r="H35" s="52">
        <f>+H34/H22</f>
        <v>-1.8740831166458975E-2</v>
      </c>
      <c r="I35" s="52">
        <f>+I34/I22</f>
        <v>-4.277571917643273E-3</v>
      </c>
      <c r="J35" s="148">
        <v>-1.2E-2</v>
      </c>
      <c r="K35" s="56">
        <f>+J35</f>
        <v>-1.2E-2</v>
      </c>
      <c r="L35" s="56">
        <f t="shared" ref="L35:N35" si="42">+K35</f>
        <v>-1.2E-2</v>
      </c>
      <c r="M35" s="56">
        <f t="shared" si="42"/>
        <v>-1.2E-2</v>
      </c>
      <c r="N35" s="56">
        <f t="shared" si="42"/>
        <v>-1.2E-2</v>
      </c>
    </row>
    <row r="36" spans="2:23">
      <c r="C36" s="46" t="s">
        <v>12</v>
      </c>
      <c r="D36" s="47" t="s">
        <v>22</v>
      </c>
      <c r="E36" s="88">
        <v>-1.3000000000000043</v>
      </c>
      <c r="F36" s="88">
        <v>-2.7000000000000011</v>
      </c>
      <c r="G36" s="88">
        <v>-4.8999999999999986</v>
      </c>
      <c r="H36" s="88">
        <v>-2.9694727632367632</v>
      </c>
      <c r="I36" s="88">
        <v>-2.97</v>
      </c>
      <c r="J36" s="45">
        <f>+J27</f>
        <v>-3.9658500000000014</v>
      </c>
      <c r="K36" s="45">
        <f>+K27</f>
        <v>-4.1641425000000014</v>
      </c>
      <c r="L36" s="45">
        <f>+L27</f>
        <v>-4.3723496250000018</v>
      </c>
      <c r="M36" s="45">
        <f>+M27</f>
        <v>-4.5909671062500017</v>
      </c>
      <c r="N36" s="45">
        <f>+N27</f>
        <v>-4.8205154615625023</v>
      </c>
    </row>
    <row r="38" spans="2:23" s="29" customFormat="1">
      <c r="B38" s="28" t="s">
        <v>17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40" spans="2:23">
      <c r="J40" s="87">
        <v>1</v>
      </c>
      <c r="K40" s="87">
        <f t="shared" ref="K40:N40" si="43">J40+1</f>
        <v>2</v>
      </c>
      <c r="L40" s="87">
        <f t="shared" si="43"/>
        <v>3</v>
      </c>
      <c r="M40" s="87">
        <f t="shared" si="43"/>
        <v>4</v>
      </c>
      <c r="N40" s="87">
        <f t="shared" si="43"/>
        <v>5</v>
      </c>
    </row>
    <row r="41" spans="2:23" ht="13.95" customHeight="1">
      <c r="C41" s="100" t="s">
        <v>26</v>
      </c>
      <c r="D41" s="101"/>
      <c r="E41" s="102">
        <f t="shared" ref="E41:N41" si="44">+E17</f>
        <v>42004</v>
      </c>
      <c r="F41" s="102">
        <f t="shared" si="44"/>
        <v>42369</v>
      </c>
      <c r="G41" s="102">
        <f t="shared" si="44"/>
        <v>42735</v>
      </c>
      <c r="H41" s="102">
        <f t="shared" si="44"/>
        <v>43100</v>
      </c>
      <c r="I41" s="102">
        <f t="shared" si="44"/>
        <v>43465</v>
      </c>
      <c r="J41" s="103">
        <f t="shared" si="44"/>
        <v>43830</v>
      </c>
      <c r="K41" s="103">
        <f t="shared" si="44"/>
        <v>44196</v>
      </c>
      <c r="L41" s="103">
        <f t="shared" si="44"/>
        <v>44561</v>
      </c>
      <c r="M41" s="103">
        <f t="shared" si="44"/>
        <v>44926</v>
      </c>
      <c r="N41" s="103">
        <f t="shared" si="44"/>
        <v>45291</v>
      </c>
      <c r="O41" s="104" t="s">
        <v>32</v>
      </c>
    </row>
    <row r="42" spans="2:23" ht="13.95" customHeight="1">
      <c r="C42" s="105" t="s">
        <v>53</v>
      </c>
      <c r="D42" s="106" t="s">
        <v>22</v>
      </c>
      <c r="E42" s="107"/>
      <c r="F42" s="107"/>
      <c r="G42" s="107"/>
      <c r="H42" s="107"/>
      <c r="I42" s="107"/>
      <c r="J42" s="108">
        <f>+J22</f>
        <v>377.94452870049918</v>
      </c>
      <c r="K42" s="108">
        <f t="shared" ref="K42:N42" si="45">+K22</f>
        <v>434.73334407839428</v>
      </c>
      <c r="L42" s="108">
        <f t="shared" si="45"/>
        <v>469.94806736283664</v>
      </c>
      <c r="M42" s="108">
        <f t="shared" si="45"/>
        <v>508.47779769763838</v>
      </c>
      <c r="N42" s="108">
        <f t="shared" si="45"/>
        <v>550.64887415588316</v>
      </c>
      <c r="O42" s="109"/>
    </row>
    <row r="43" spans="2:23" ht="13.95" customHeight="1">
      <c r="C43" s="105" t="s">
        <v>0</v>
      </c>
      <c r="D43" s="106" t="s">
        <v>22</v>
      </c>
      <c r="E43" s="107"/>
      <c r="F43" s="107"/>
      <c r="G43" s="107"/>
      <c r="H43" s="107"/>
      <c r="I43" s="107"/>
      <c r="J43" s="108">
        <f>+J25</f>
        <v>94.486132175124794</v>
      </c>
      <c r="K43" s="108">
        <f t="shared" ref="K43:N43" si="46">+K25</f>
        <v>108.68333601959857</v>
      </c>
      <c r="L43" s="108">
        <f t="shared" si="46"/>
        <v>117.48701684070916</v>
      </c>
      <c r="M43" s="108">
        <f t="shared" si="46"/>
        <v>127.11944942440959</v>
      </c>
      <c r="N43" s="108">
        <f t="shared" si="46"/>
        <v>137.66221853897079</v>
      </c>
      <c r="O43" s="109"/>
    </row>
    <row r="44" spans="2:23" ht="13.95" customHeight="1">
      <c r="C44" s="110" t="s">
        <v>54</v>
      </c>
      <c r="D44" s="111" t="s">
        <v>23</v>
      </c>
      <c r="E44" s="112"/>
      <c r="F44" s="112"/>
      <c r="G44" s="112"/>
      <c r="H44" s="112"/>
      <c r="I44" s="112"/>
      <c r="J44" s="113">
        <f>+J26</f>
        <v>0.25</v>
      </c>
      <c r="K44" s="113">
        <f t="shared" ref="K44:N44" si="47">+K26</f>
        <v>0.25</v>
      </c>
      <c r="L44" s="113">
        <f t="shared" si="47"/>
        <v>0.25</v>
      </c>
      <c r="M44" s="113">
        <f t="shared" si="47"/>
        <v>0.25</v>
      </c>
      <c r="N44" s="113">
        <f t="shared" si="47"/>
        <v>0.25</v>
      </c>
      <c r="O44" s="109"/>
    </row>
    <row r="45" spans="2:23" ht="13.95" customHeight="1">
      <c r="C45" s="110" t="s">
        <v>55</v>
      </c>
      <c r="D45" s="111" t="s">
        <v>22</v>
      </c>
      <c r="E45" s="112"/>
      <c r="F45" s="112"/>
      <c r="G45" s="112"/>
      <c r="H45" s="112"/>
      <c r="I45" s="112"/>
      <c r="J45" s="114">
        <f>+J27</f>
        <v>-3.9658500000000014</v>
      </c>
      <c r="K45" s="114">
        <f t="shared" ref="K45:N45" si="48">+K27</f>
        <v>-4.1641425000000014</v>
      </c>
      <c r="L45" s="114">
        <f t="shared" si="48"/>
        <v>-4.3723496250000018</v>
      </c>
      <c r="M45" s="114">
        <f t="shared" si="48"/>
        <v>-4.5909671062500017</v>
      </c>
      <c r="N45" s="114">
        <f t="shared" si="48"/>
        <v>-4.8205154615625023</v>
      </c>
      <c r="O45" s="109"/>
    </row>
    <row r="46" spans="2:23" ht="13.95" customHeight="1">
      <c r="C46" s="105" t="s">
        <v>1</v>
      </c>
      <c r="D46" s="106" t="s">
        <v>22</v>
      </c>
      <c r="E46" s="108">
        <f t="shared" ref="E46:N46" si="49">+E29</f>
        <v>35.4</v>
      </c>
      <c r="F46" s="108">
        <f t="shared" si="49"/>
        <v>7.1</v>
      </c>
      <c r="G46" s="108">
        <f t="shared" si="49"/>
        <v>34.1</v>
      </c>
      <c r="H46" s="108">
        <f t="shared" si="49"/>
        <v>56.991531535205127</v>
      </c>
      <c r="I46" s="108">
        <f t="shared" si="49"/>
        <v>78.633230352234307</v>
      </c>
      <c r="J46" s="108">
        <f t="shared" si="49"/>
        <v>90.520282175124791</v>
      </c>
      <c r="K46" s="108">
        <f t="shared" si="49"/>
        <v>104.51919351959857</v>
      </c>
      <c r="L46" s="108">
        <f t="shared" si="49"/>
        <v>113.11466721570916</v>
      </c>
      <c r="M46" s="108">
        <f t="shared" si="49"/>
        <v>122.52848231815959</v>
      </c>
      <c r="N46" s="108">
        <f t="shared" si="49"/>
        <v>132.84170307740828</v>
      </c>
      <c r="O46" s="109"/>
    </row>
    <row r="47" spans="2:23" ht="13.95" customHeight="1">
      <c r="C47" s="116" t="s">
        <v>62</v>
      </c>
      <c r="D47" s="117" t="s">
        <v>22</v>
      </c>
      <c r="E47" s="118">
        <f t="shared" ref="E47:N47" si="50">+E46*$E$6*-1</f>
        <v>-11.327999999999999</v>
      </c>
      <c r="F47" s="118">
        <f t="shared" si="50"/>
        <v>-2.2719999999999998</v>
      </c>
      <c r="G47" s="118">
        <f t="shared" si="50"/>
        <v>-10.912000000000001</v>
      </c>
      <c r="H47" s="118">
        <f t="shared" si="50"/>
        <v>-18.237290091265642</v>
      </c>
      <c r="I47" s="118">
        <f t="shared" si="50"/>
        <v>-25.162633712714978</v>
      </c>
      <c r="J47" s="118">
        <f t="shared" si="50"/>
        <v>-28.966490296039932</v>
      </c>
      <c r="K47" s="118">
        <f t="shared" si="50"/>
        <v>-33.446141926271544</v>
      </c>
      <c r="L47" s="118">
        <f t="shared" si="50"/>
        <v>-36.196693509026936</v>
      </c>
      <c r="M47" s="118">
        <f t="shared" si="50"/>
        <v>-39.209114341811066</v>
      </c>
      <c r="N47" s="118">
        <f t="shared" si="50"/>
        <v>-42.509344984770649</v>
      </c>
      <c r="O47" s="119"/>
    </row>
    <row r="48" spans="2:23" ht="13.95" customHeight="1">
      <c r="C48" s="105" t="s">
        <v>56</v>
      </c>
      <c r="D48" s="106" t="s">
        <v>22</v>
      </c>
      <c r="E48" s="115"/>
      <c r="F48" s="115"/>
      <c r="G48" s="115"/>
      <c r="H48" s="115"/>
      <c r="I48" s="115"/>
      <c r="J48" s="108">
        <f>+J46+J47</f>
        <v>61.553791879084855</v>
      </c>
      <c r="K48" s="108">
        <f t="shared" ref="K48:N48" si="51">+K46+K47</f>
        <v>71.073051593327023</v>
      </c>
      <c r="L48" s="108">
        <f t="shared" si="51"/>
        <v>76.917973706682233</v>
      </c>
      <c r="M48" s="108">
        <f t="shared" si="51"/>
        <v>83.319367976348531</v>
      </c>
      <c r="N48" s="108">
        <f t="shared" si="51"/>
        <v>90.332358092637634</v>
      </c>
      <c r="O48" s="109"/>
    </row>
    <row r="49" spans="3:19" ht="13.95" customHeight="1">
      <c r="C49" s="116" t="s">
        <v>54</v>
      </c>
      <c r="D49" s="117" t="s">
        <v>23</v>
      </c>
      <c r="E49" s="118"/>
      <c r="F49" s="118"/>
      <c r="G49" s="118"/>
      <c r="H49" s="118"/>
      <c r="I49" s="118"/>
      <c r="J49" s="120">
        <f>+J48/J42</f>
        <v>0.16286461955337087</v>
      </c>
      <c r="K49" s="120">
        <f t="shared" ref="K49:N49" si="52">+K48/K42</f>
        <v>0.16348654309918911</v>
      </c>
      <c r="L49" s="120">
        <f t="shared" si="52"/>
        <v>0.16367334828785571</v>
      </c>
      <c r="M49" s="120">
        <f t="shared" si="52"/>
        <v>0.16386038555393057</v>
      </c>
      <c r="N49" s="120">
        <f t="shared" si="52"/>
        <v>0.1640471130193675</v>
      </c>
      <c r="O49" s="119"/>
    </row>
    <row r="50" spans="3:19" ht="13.95" customHeight="1">
      <c r="C50" s="110" t="s">
        <v>27</v>
      </c>
      <c r="D50" s="111" t="s">
        <v>22</v>
      </c>
      <c r="E50" s="114">
        <f t="shared" ref="E50:N50" si="53">+E27*-1</f>
        <v>1.3000000000000043</v>
      </c>
      <c r="F50" s="114">
        <f t="shared" si="53"/>
        <v>2.7000000000000011</v>
      </c>
      <c r="G50" s="114">
        <f t="shared" si="53"/>
        <v>4.8999999999999986</v>
      </c>
      <c r="H50" s="114">
        <f t="shared" si="53"/>
        <v>3.6084684647948748</v>
      </c>
      <c r="I50" s="114">
        <f t="shared" si="53"/>
        <v>3.777000000000001</v>
      </c>
      <c r="J50" s="114">
        <f t="shared" si="53"/>
        <v>3.9658500000000014</v>
      </c>
      <c r="K50" s="114">
        <f t="shared" si="53"/>
        <v>4.1641425000000014</v>
      </c>
      <c r="L50" s="114">
        <f t="shared" si="53"/>
        <v>4.3723496250000018</v>
      </c>
      <c r="M50" s="114">
        <f t="shared" si="53"/>
        <v>4.5909671062500017</v>
      </c>
      <c r="N50" s="114">
        <f t="shared" si="53"/>
        <v>4.8205154615625023</v>
      </c>
      <c r="O50" s="109"/>
    </row>
    <row r="51" spans="3:19" ht="13.95" customHeight="1">
      <c r="C51" s="110" t="s">
        <v>63</v>
      </c>
      <c r="D51" s="111" t="s">
        <v>22</v>
      </c>
      <c r="E51" s="114">
        <f>+E36</f>
        <v>-1.3000000000000043</v>
      </c>
      <c r="F51" s="114">
        <f t="shared" ref="F51:N51" si="54">+F36</f>
        <v>-2.7000000000000011</v>
      </c>
      <c r="G51" s="114">
        <f t="shared" si="54"/>
        <v>-4.8999999999999986</v>
      </c>
      <c r="H51" s="114">
        <f t="shared" si="54"/>
        <v>-2.9694727632367632</v>
      </c>
      <c r="I51" s="114">
        <f t="shared" si="54"/>
        <v>-2.97</v>
      </c>
      <c r="J51" s="114">
        <f t="shared" si="54"/>
        <v>-3.9658500000000014</v>
      </c>
      <c r="K51" s="114">
        <f t="shared" si="54"/>
        <v>-4.1641425000000014</v>
      </c>
      <c r="L51" s="114">
        <f t="shared" si="54"/>
        <v>-4.3723496250000018</v>
      </c>
      <c r="M51" s="114">
        <f t="shared" si="54"/>
        <v>-4.5909671062500017</v>
      </c>
      <c r="N51" s="114">
        <f t="shared" si="54"/>
        <v>-4.8205154615625023</v>
      </c>
      <c r="O51" s="109"/>
    </row>
    <row r="52" spans="3:19" ht="13.95" customHeight="1">
      <c r="C52" s="116" t="s">
        <v>28</v>
      </c>
      <c r="D52" s="117" t="s">
        <v>22</v>
      </c>
      <c r="E52" s="118">
        <f t="shared" ref="E52:N52" si="55">+E34</f>
        <v>0</v>
      </c>
      <c r="F52" s="118">
        <f t="shared" si="55"/>
        <v>0</v>
      </c>
      <c r="G52" s="118">
        <f t="shared" si="55"/>
        <v>0</v>
      </c>
      <c r="H52" s="118">
        <f t="shared" si="55"/>
        <v>-4.8238899422465398</v>
      </c>
      <c r="I52" s="118">
        <f t="shared" si="55"/>
        <v>-1.3384422727526477</v>
      </c>
      <c r="J52" s="118">
        <f t="shared" si="55"/>
        <v>-4.5353343444059906</v>
      </c>
      <c r="K52" s="118">
        <f t="shared" si="55"/>
        <v>-5.2168001289407311</v>
      </c>
      <c r="L52" s="118">
        <f t="shared" si="55"/>
        <v>-5.6393768083540401</v>
      </c>
      <c r="M52" s="118">
        <f t="shared" si="55"/>
        <v>-6.1017335723716606</v>
      </c>
      <c r="N52" s="118">
        <f t="shared" si="55"/>
        <v>-6.6077864898705982</v>
      </c>
      <c r="O52" s="119"/>
    </row>
    <row r="53" spans="3:19" ht="13.95" customHeight="1">
      <c r="C53" s="105" t="s">
        <v>13</v>
      </c>
      <c r="D53" s="106" t="s">
        <v>22</v>
      </c>
      <c r="E53" s="121"/>
      <c r="F53" s="121"/>
      <c r="G53" s="121"/>
      <c r="H53" s="108">
        <f t="shared" ref="H53:I53" si="56">SUM(H46:H52)</f>
        <v>34.569347203251056</v>
      </c>
      <c r="I53" s="108">
        <f t="shared" si="56"/>
        <v>52.939154366766687</v>
      </c>
      <c r="J53" s="108">
        <f>+J48+J50+J51+J52</f>
        <v>57.018457534678866</v>
      </c>
      <c r="K53" s="108">
        <f t="shared" ref="K53:N53" si="57">+K48+K50+K51+K52</f>
        <v>65.85625146438629</v>
      </c>
      <c r="L53" s="108">
        <f t="shared" si="57"/>
        <v>71.278596898328189</v>
      </c>
      <c r="M53" s="108">
        <f t="shared" si="57"/>
        <v>77.217634403976874</v>
      </c>
      <c r="N53" s="108">
        <f t="shared" si="57"/>
        <v>83.724571602767043</v>
      </c>
      <c r="O53" s="109"/>
    </row>
    <row r="54" spans="3:19" ht="13.95" customHeight="1" outlineLevel="1">
      <c r="C54" s="110" t="s">
        <v>61</v>
      </c>
      <c r="D54" s="111" t="s">
        <v>35</v>
      </c>
      <c r="E54" s="109"/>
      <c r="F54" s="109"/>
      <c r="G54" s="109"/>
      <c r="H54" s="109"/>
      <c r="I54" s="109"/>
      <c r="J54" s="122">
        <f>IF(J40=1,$E$9,1)</f>
        <v>0.61111111111111116</v>
      </c>
      <c r="K54" s="122">
        <f>IF(K40=1,$E$9,1)</f>
        <v>1</v>
      </c>
      <c r="L54" s="122">
        <f>IF(L40=1,$E$9,1)</f>
        <v>1</v>
      </c>
      <c r="M54" s="122">
        <f>IF(M40=1,$E$9,1)</f>
        <v>1</v>
      </c>
      <c r="N54" s="122">
        <f>IF(N40=1,$E$9,1)</f>
        <v>1</v>
      </c>
      <c r="O54" s="109"/>
    </row>
    <row r="55" spans="3:19" ht="13.95" customHeight="1">
      <c r="C55" s="110" t="s">
        <v>7</v>
      </c>
      <c r="D55" s="111" t="s">
        <v>22</v>
      </c>
      <c r="E55" s="109"/>
      <c r="F55" s="109"/>
      <c r="G55" s="109"/>
      <c r="H55" s="109"/>
      <c r="I55" s="109"/>
      <c r="J55" s="114">
        <f>+J53*J54</f>
        <v>34.84461293785931</v>
      </c>
      <c r="K55" s="114">
        <f t="shared" ref="K55:N55" si="58">+K53*K54</f>
        <v>65.85625146438629</v>
      </c>
      <c r="L55" s="114">
        <f t="shared" si="58"/>
        <v>71.278596898328189</v>
      </c>
      <c r="M55" s="114">
        <f t="shared" si="58"/>
        <v>77.217634403976874</v>
      </c>
      <c r="N55" s="114">
        <f t="shared" si="58"/>
        <v>83.724571602767043</v>
      </c>
      <c r="O55" s="123">
        <f>+N55*(1+$E$11)/($E$10-$E$11)</f>
        <v>1320.2720906590187</v>
      </c>
    </row>
    <row r="56" spans="3:19" ht="13.95" customHeight="1">
      <c r="C56" s="110" t="s">
        <v>29</v>
      </c>
      <c r="D56" s="111" t="s">
        <v>35</v>
      </c>
      <c r="E56" s="109"/>
      <c r="F56" s="109"/>
      <c r="G56" s="109"/>
      <c r="H56" s="109"/>
      <c r="I56" s="109"/>
      <c r="J56" s="124">
        <f>YEARFRAC(J41,$E$7)/2</f>
        <v>0.30555555555555558</v>
      </c>
      <c r="K56" s="124">
        <f t="shared" ref="K56:N56" si="59">+J56+1</f>
        <v>1.3055555555555556</v>
      </c>
      <c r="L56" s="124">
        <f t="shared" si="59"/>
        <v>2.3055555555555554</v>
      </c>
      <c r="M56" s="124">
        <f t="shared" si="59"/>
        <v>3.3055555555555554</v>
      </c>
      <c r="N56" s="124">
        <f t="shared" si="59"/>
        <v>4.3055555555555554</v>
      </c>
      <c r="O56" s="124">
        <f>+N56</f>
        <v>4.3055555555555554</v>
      </c>
    </row>
    <row r="57" spans="3:19" ht="13.95" customHeight="1">
      <c r="C57" s="125" t="s">
        <v>30</v>
      </c>
      <c r="D57" s="126" t="s">
        <v>35</v>
      </c>
      <c r="E57" s="127"/>
      <c r="F57" s="127"/>
      <c r="G57" s="127"/>
      <c r="H57" s="127"/>
      <c r="I57" s="127"/>
      <c r="J57" s="128">
        <f t="shared" ref="J57:O57" si="60">1/(1+$E$10)^J56</f>
        <v>0.97401159211845845</v>
      </c>
      <c r="K57" s="128">
        <f t="shared" si="60"/>
        <v>0.89358861662243894</v>
      </c>
      <c r="L57" s="128">
        <f t="shared" si="60"/>
        <v>0.81980607029581543</v>
      </c>
      <c r="M57" s="128">
        <f t="shared" si="60"/>
        <v>0.752115660821849</v>
      </c>
      <c r="N57" s="128">
        <f t="shared" si="60"/>
        <v>0.69001436772646696</v>
      </c>
      <c r="O57" s="128">
        <f t="shared" si="60"/>
        <v>0.69001436772646696</v>
      </c>
    </row>
    <row r="58" spans="3:19" ht="13.95" customHeight="1">
      <c r="C58" s="129" t="s">
        <v>5</v>
      </c>
      <c r="D58" s="130" t="s">
        <v>22</v>
      </c>
      <c r="E58" s="131"/>
      <c r="F58" s="131"/>
      <c r="G58" s="131"/>
      <c r="H58" s="131"/>
      <c r="I58" s="131"/>
      <c r="J58" s="132">
        <f>+J55*J57</f>
        <v>33.939056924355782</v>
      </c>
      <c r="K58" s="132">
        <f>+K55*K57</f>
        <v>58.848396642000417</v>
      </c>
      <c r="L58" s="132">
        <f t="shared" ref="L58:N58" si="61">+L55*L57</f>
        <v>58.434626419417931</v>
      </c>
      <c r="M58" s="132">
        <f t="shared" si="61"/>
        <v>58.076592126847011</v>
      </c>
      <c r="N58" s="132">
        <f t="shared" si="61"/>
        <v>57.77115733765261</v>
      </c>
      <c r="O58" s="132">
        <f>+O55*O57</f>
        <v>911.00671186298348</v>
      </c>
    </row>
    <row r="59" spans="3:19" ht="13.95" customHeight="1"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</row>
    <row r="60" spans="3:19" ht="13.95" customHeight="1">
      <c r="C60" s="133" t="s">
        <v>17</v>
      </c>
      <c r="D60" s="133"/>
      <c r="E60" s="110"/>
      <c r="F60" s="110"/>
      <c r="G60" s="110"/>
      <c r="H60" s="110"/>
      <c r="I60" s="110"/>
      <c r="J60" s="133"/>
      <c r="K60" s="110"/>
      <c r="L60" s="110"/>
      <c r="M60" s="110"/>
      <c r="N60" s="134"/>
      <c r="O60" s="135"/>
      <c r="P60" s="15"/>
      <c r="Q60" s="15"/>
      <c r="R60" s="15"/>
      <c r="S60" s="15"/>
    </row>
    <row r="61" spans="3:19" ht="13.95" customHeight="1">
      <c r="C61" s="136" t="s">
        <v>64</v>
      </c>
      <c r="D61" s="111" t="s">
        <v>22</v>
      </c>
      <c r="E61" s="110"/>
      <c r="F61" s="110"/>
      <c r="G61" s="110"/>
      <c r="H61" s="110"/>
      <c r="I61" s="110"/>
      <c r="J61" s="137">
        <f>+SUM(J58:N58)</f>
        <v>267.06982945027374</v>
      </c>
      <c r="K61" s="110"/>
      <c r="L61" s="110"/>
      <c r="M61" s="110"/>
      <c r="N61" s="110"/>
      <c r="O61" s="110"/>
      <c r="P61" s="15"/>
    </row>
    <row r="62" spans="3:19" ht="13.95" customHeight="1">
      <c r="C62" s="138" t="s">
        <v>57</v>
      </c>
      <c r="D62" s="139" t="s">
        <v>22</v>
      </c>
      <c r="E62" s="110"/>
      <c r="F62" s="110"/>
      <c r="G62" s="110"/>
      <c r="H62" s="110"/>
      <c r="I62" s="110"/>
      <c r="J62" s="140">
        <f>+O58</f>
        <v>911.00671186298348</v>
      </c>
      <c r="K62" s="110"/>
      <c r="L62" s="110"/>
      <c r="M62" s="110"/>
      <c r="N62" s="110"/>
      <c r="O62" s="110"/>
      <c r="P62" s="15"/>
    </row>
    <row r="63" spans="3:19" ht="13.95" customHeight="1">
      <c r="C63" s="141" t="s">
        <v>65</v>
      </c>
      <c r="D63" s="142" t="s">
        <v>22</v>
      </c>
      <c r="E63" s="143"/>
      <c r="F63" s="143"/>
      <c r="G63" s="143"/>
      <c r="H63" s="143"/>
      <c r="I63" s="143"/>
      <c r="J63" s="144">
        <f>SUM(J61:J62)</f>
        <v>1178.0765413132572</v>
      </c>
      <c r="K63" s="110"/>
      <c r="L63" s="110"/>
      <c r="M63" s="110"/>
      <c r="N63" s="110"/>
      <c r="O63" s="110"/>
      <c r="P63" s="15"/>
    </row>
    <row r="64" spans="3:19" ht="13.95" customHeight="1">
      <c r="C64" s="129" t="s">
        <v>37</v>
      </c>
      <c r="D64" s="145" t="s">
        <v>15</v>
      </c>
      <c r="E64" s="143"/>
      <c r="F64" s="143"/>
      <c r="G64" s="143"/>
      <c r="H64" s="143"/>
      <c r="I64" s="143"/>
      <c r="J64" s="146">
        <f>+J63/I25</f>
        <v>14.295270578397517</v>
      </c>
      <c r="K64" s="110"/>
      <c r="L64" s="110"/>
      <c r="M64" s="110"/>
      <c r="N64" s="110"/>
      <c r="O64" s="110"/>
      <c r="P64" s="15"/>
    </row>
    <row r="65" spans="2:16">
      <c r="P65" s="15"/>
    </row>
    <row r="66" spans="2:16">
      <c r="P66" s="15"/>
    </row>
    <row r="67" spans="2:16" s="1" customFormat="1" ht="14.4">
      <c r="B67" s="69"/>
      <c r="C67" s="69"/>
      <c r="D67" s="70"/>
      <c r="E67" s="70"/>
      <c r="F67" s="70"/>
      <c r="G67" s="70"/>
      <c r="H67" s="70"/>
      <c r="I67" s="70"/>
      <c r="J67" s="70"/>
      <c r="K67" s="70"/>
      <c r="L67" s="70"/>
      <c r="M67" s="70"/>
      <c r="P67" s="71"/>
    </row>
    <row r="68" spans="2:16" s="1" customFormat="1" ht="14.4">
      <c r="B68" s="69"/>
      <c r="C68" s="69"/>
      <c r="D68" s="72"/>
      <c r="E68" s="72"/>
      <c r="F68" s="72"/>
      <c r="G68" s="72"/>
      <c r="H68" s="72"/>
      <c r="I68" s="72"/>
      <c r="J68" s="72"/>
      <c r="K68" s="72"/>
      <c r="L68" s="72"/>
      <c r="M68" s="72"/>
      <c r="P68" s="73"/>
    </row>
    <row r="69" spans="2:16" s="1" customFormat="1" ht="14.4">
      <c r="B69" s="69"/>
      <c r="C69" s="69"/>
      <c r="D69" s="64"/>
      <c r="E69" s="64"/>
      <c r="F69" s="64"/>
      <c r="G69" s="64"/>
      <c r="H69" s="64"/>
      <c r="I69" s="64"/>
      <c r="J69" s="64"/>
      <c r="K69" s="64"/>
      <c r="L69" s="64"/>
      <c r="M69" s="64"/>
      <c r="P69" s="73"/>
    </row>
    <row r="70" spans="2:16" s="1" customFormat="1" ht="14.4"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74"/>
      <c r="P70" s="73"/>
    </row>
    <row r="71" spans="2:16" s="1" customFormat="1">
      <c r="B71" s="75"/>
      <c r="C71" s="2"/>
      <c r="D71" s="20"/>
      <c r="E71" s="20"/>
      <c r="F71" s="20"/>
      <c r="G71" s="20"/>
      <c r="H71" s="20"/>
      <c r="I71" s="21"/>
      <c r="J71" s="21"/>
      <c r="K71" s="21"/>
      <c r="L71" s="21"/>
      <c r="M71" s="21"/>
    </row>
    <row r="72" spans="2:16" s="1" customFormat="1" ht="11.25" customHeight="1">
      <c r="B72" s="75"/>
      <c r="C72" s="76"/>
      <c r="D72" s="77"/>
      <c r="E72" s="18"/>
      <c r="F72" s="18"/>
      <c r="G72" s="18"/>
      <c r="H72" s="18"/>
      <c r="I72" s="78"/>
      <c r="J72" s="78"/>
      <c r="K72" s="78"/>
      <c r="L72" s="19"/>
      <c r="M72" s="19"/>
    </row>
    <row r="73" spans="2:16" s="1" customFormat="1">
      <c r="B73" s="75"/>
      <c r="C73" s="2"/>
      <c r="D73" s="20"/>
      <c r="E73" s="20"/>
      <c r="F73" s="20"/>
      <c r="G73" s="20"/>
      <c r="H73" s="20"/>
      <c r="I73" s="21"/>
      <c r="J73" s="21"/>
      <c r="K73" s="21"/>
      <c r="L73" s="21"/>
      <c r="M73" s="21"/>
    </row>
    <row r="74" spans="2:16" s="1" customFormat="1">
      <c r="B74" s="75"/>
      <c r="C74" s="76"/>
      <c r="D74" s="77"/>
      <c r="E74" s="18"/>
      <c r="F74" s="18"/>
      <c r="G74" s="18"/>
      <c r="H74" s="18"/>
      <c r="I74" s="78"/>
      <c r="J74" s="18"/>
      <c r="K74" s="18"/>
      <c r="L74" s="18"/>
      <c r="M74" s="18"/>
    </row>
    <row r="75" spans="2:16" s="1" customFormat="1">
      <c r="B75" s="12"/>
      <c r="C75" s="13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2:16" s="1" customFormat="1">
      <c r="B76" s="12"/>
      <c r="C76" s="76"/>
      <c r="D76" s="79"/>
      <c r="E76" s="18"/>
      <c r="F76" s="18"/>
      <c r="G76" s="18"/>
      <c r="H76" s="18"/>
      <c r="I76" s="18"/>
      <c r="J76" s="18"/>
      <c r="K76" s="18"/>
      <c r="L76" s="18"/>
      <c r="M76" s="18"/>
    </row>
    <row r="77" spans="2:16" s="1" customFormat="1">
      <c r="B77" s="80"/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2:16" s="1" customFormat="1">
      <c r="B78" s="12"/>
      <c r="C78" s="2"/>
      <c r="D78" s="20"/>
      <c r="E78" s="20"/>
      <c r="F78" s="20"/>
      <c r="G78" s="20"/>
      <c r="H78" s="20"/>
      <c r="I78" s="21"/>
      <c r="J78" s="21"/>
      <c r="K78" s="21"/>
      <c r="L78" s="21"/>
      <c r="M78" s="21"/>
    </row>
    <row r="79" spans="2:16" s="1" customFormat="1">
      <c r="B79" s="12"/>
      <c r="C79" s="13"/>
      <c r="D79" s="18"/>
      <c r="E79" s="18"/>
      <c r="F79" s="18"/>
      <c r="G79" s="18"/>
      <c r="H79" s="18"/>
      <c r="I79" s="78"/>
      <c r="J79" s="18"/>
      <c r="K79" s="18"/>
      <c r="L79" s="18"/>
      <c r="M79" s="18"/>
    </row>
    <row r="80" spans="2:16" s="1" customFormat="1">
      <c r="B80" s="10"/>
      <c r="C80" s="2"/>
      <c r="D80" s="81"/>
      <c r="E80" s="81"/>
      <c r="F80" s="81"/>
      <c r="G80" s="81"/>
      <c r="H80" s="81"/>
      <c r="I80" s="81"/>
      <c r="J80" s="81"/>
      <c r="K80" s="81"/>
      <c r="L80" s="81"/>
      <c r="M80" s="81"/>
    </row>
    <row r="81" spans="2:13" s="1" customFormat="1">
      <c r="B81" s="12"/>
      <c r="C81" s="80"/>
      <c r="D81" s="65"/>
      <c r="E81" s="65"/>
      <c r="F81" s="65"/>
      <c r="G81" s="65"/>
      <c r="H81" s="65"/>
      <c r="I81" s="22"/>
      <c r="J81" s="22"/>
      <c r="K81" s="22"/>
      <c r="L81" s="22"/>
      <c r="M81" s="22"/>
    </row>
    <row r="82" spans="2:13" s="1" customFormat="1">
      <c r="B82" s="12"/>
      <c r="C82" s="13"/>
      <c r="D82" s="81"/>
      <c r="E82" s="18"/>
      <c r="F82" s="18"/>
      <c r="G82" s="18"/>
      <c r="H82" s="18"/>
      <c r="I82" s="18"/>
      <c r="J82" s="18"/>
      <c r="K82" s="18"/>
      <c r="L82" s="18"/>
      <c r="M82" s="18"/>
    </row>
    <row r="83" spans="2:13" s="1" customFormat="1">
      <c r="B83" s="82"/>
      <c r="C83" s="2"/>
      <c r="D83" s="21"/>
      <c r="E83" s="21"/>
      <c r="F83" s="21"/>
      <c r="G83" s="20"/>
      <c r="H83" s="20"/>
      <c r="I83" s="21"/>
      <c r="J83" s="21"/>
      <c r="K83" s="21"/>
      <c r="L83" s="21"/>
      <c r="M83" s="21"/>
    </row>
    <row r="84" spans="2:13" s="1" customFormat="1">
      <c r="B84" s="12"/>
      <c r="C84" s="2"/>
      <c r="D84" s="65"/>
      <c r="E84" s="65"/>
      <c r="F84" s="65"/>
      <c r="G84" s="65"/>
      <c r="H84" s="65"/>
      <c r="I84" s="22"/>
      <c r="J84" s="22"/>
      <c r="K84" s="22"/>
      <c r="L84" s="22"/>
      <c r="M84" s="22"/>
    </row>
    <row r="85" spans="2:13" s="1" customFormat="1">
      <c r="B85" s="12"/>
      <c r="C85" s="13"/>
      <c r="D85" s="83"/>
      <c r="E85" s="23"/>
      <c r="F85" s="23"/>
      <c r="G85" s="23"/>
      <c r="H85" s="23"/>
      <c r="I85" s="23"/>
      <c r="J85" s="23"/>
      <c r="K85" s="23"/>
      <c r="L85" s="23"/>
      <c r="M85" s="23"/>
    </row>
    <row r="86" spans="2:13" s="1" customFormat="1">
      <c r="B86" s="12"/>
      <c r="C86" s="13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2:13" s="1" customFormat="1">
      <c r="B87" s="84"/>
      <c r="C87" s="2"/>
      <c r="D87" s="81"/>
      <c r="E87" s="81"/>
      <c r="F87" s="81"/>
      <c r="G87" s="81"/>
      <c r="H87" s="81"/>
      <c r="I87" s="81"/>
      <c r="J87" s="81"/>
      <c r="K87" s="81"/>
      <c r="L87" s="81"/>
      <c r="M87" s="81"/>
    </row>
    <row r="88" spans="2:13" s="1" customFormat="1">
      <c r="B88" s="12"/>
      <c r="C88" s="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2:13" s="1" customFormat="1">
      <c r="B89" s="13"/>
      <c r="C89" s="2"/>
      <c r="D89" s="16"/>
      <c r="E89" s="16"/>
      <c r="F89" s="17"/>
      <c r="G89" s="17"/>
      <c r="H89" s="17"/>
      <c r="I89" s="17"/>
      <c r="J89" s="17"/>
      <c r="K89" s="17"/>
      <c r="L89" s="17"/>
      <c r="M89" s="17"/>
    </row>
    <row r="90" spans="2:13" s="1" customFormat="1">
      <c r="B90" s="84"/>
      <c r="C90" s="2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spans="2:13" s="1" customFormat="1">
      <c r="B91" s="84"/>
      <c r="C91" s="2"/>
      <c r="D91" s="81"/>
      <c r="E91" s="81"/>
      <c r="F91" s="81"/>
      <c r="G91" s="81"/>
      <c r="H91" s="81"/>
      <c r="I91" s="81"/>
      <c r="J91" s="81"/>
      <c r="K91" s="81"/>
      <c r="L91" s="81"/>
      <c r="M91" s="81"/>
    </row>
    <row r="92" spans="2:13" s="1" customFormat="1">
      <c r="B92" s="12"/>
      <c r="C92" s="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2:13" s="1" customFormat="1">
      <c r="B93" s="84"/>
      <c r="C93" s="2"/>
      <c r="D93" s="81"/>
      <c r="E93" s="81"/>
      <c r="F93" s="81"/>
      <c r="G93" s="81"/>
      <c r="H93" s="81"/>
      <c r="I93" s="81"/>
      <c r="J93" s="81"/>
      <c r="K93" s="81"/>
      <c r="L93" s="81"/>
      <c r="M93" s="81"/>
    </row>
    <row r="94" spans="2:13" s="1" customFormat="1">
      <c r="B94" s="12"/>
      <c r="C94" s="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2:13" s="1" customFormat="1" ht="11.25" customHeight="1">
      <c r="B95" s="12"/>
      <c r="C95" s="13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2:13" s="1" customFormat="1">
      <c r="B96" s="12"/>
      <c r="C96" s="13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2:13" s="1" customFormat="1">
      <c r="B97" s="12"/>
      <c r="C97" s="2"/>
      <c r="D97" s="85"/>
      <c r="E97" s="85"/>
      <c r="F97" s="85"/>
      <c r="G97" s="21"/>
      <c r="H97" s="21"/>
      <c r="I97" s="21"/>
      <c r="J97" s="21"/>
      <c r="K97" s="21"/>
      <c r="L97" s="21"/>
      <c r="M97" s="21"/>
    </row>
    <row r="98" spans="2:13" s="1" customFormat="1">
      <c r="B98" s="12"/>
      <c r="C98" s="80"/>
      <c r="D98" s="21"/>
      <c r="E98" s="21"/>
      <c r="F98" s="21"/>
      <c r="G98" s="20"/>
      <c r="H98" s="20"/>
      <c r="I98" s="21"/>
      <c r="J98" s="21"/>
      <c r="K98" s="21"/>
      <c r="L98" s="21"/>
      <c r="M98" s="21"/>
    </row>
    <row r="99" spans="2:13" s="1" customFormat="1">
      <c r="B99" s="12"/>
      <c r="C99" s="66"/>
      <c r="D99" s="67"/>
      <c r="E99" s="67"/>
      <c r="F99" s="67"/>
      <c r="G99" s="67"/>
      <c r="H99" s="67"/>
      <c r="I99" s="67"/>
      <c r="J99" s="67"/>
      <c r="K99" s="67"/>
      <c r="L99" s="67"/>
      <c r="M99" s="67"/>
    </row>
    <row r="100" spans="2:13" s="1" customFormat="1">
      <c r="B100" s="3"/>
      <c r="C100" s="13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2:13" s="1" customFormat="1">
      <c r="B101" s="2"/>
      <c r="C101" s="13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2:13" s="1" customFormat="1">
      <c r="B102" s="2"/>
      <c r="C102" s="2"/>
      <c r="D102" s="2"/>
      <c r="E102" s="2"/>
      <c r="F102" s="2"/>
      <c r="G102" s="4"/>
      <c r="H102" s="4"/>
      <c r="I102" s="4"/>
      <c r="J102" s="4"/>
      <c r="K102" s="5"/>
      <c r="L102" s="6"/>
    </row>
    <row r="103" spans="2:13" s="1" customFormat="1">
      <c r="B103" s="12"/>
      <c r="C103" s="2"/>
      <c r="D103" s="7"/>
      <c r="E103" s="8"/>
      <c r="F103" s="8"/>
      <c r="G103" s="8"/>
      <c r="H103" s="8"/>
      <c r="I103" s="8"/>
      <c r="J103" s="8"/>
      <c r="K103" s="8"/>
      <c r="L103" s="9"/>
    </row>
    <row r="104" spans="2:13" s="1" customFormat="1">
      <c r="B104" s="10"/>
      <c r="C104" s="2"/>
      <c r="D104" s="85"/>
      <c r="E104" s="85"/>
      <c r="F104" s="24"/>
      <c r="G104" s="24"/>
      <c r="H104" s="24"/>
      <c r="I104" s="24"/>
      <c r="J104" s="24"/>
      <c r="K104" s="24"/>
      <c r="L104" s="27"/>
      <c r="M104" s="27"/>
    </row>
    <row r="105" spans="2:13" s="1" customFormat="1">
      <c r="B105" s="10"/>
      <c r="C105" s="12"/>
      <c r="D105" s="85"/>
      <c r="E105" s="85"/>
      <c r="F105" s="85"/>
      <c r="G105" s="85"/>
      <c r="H105" s="85"/>
      <c r="I105" s="85"/>
      <c r="J105" s="85"/>
      <c r="K105" s="85"/>
      <c r="L105" s="11"/>
    </row>
    <row r="106" spans="2:13" s="1" customFormat="1">
      <c r="B106" s="10"/>
      <c r="C106" s="12"/>
      <c r="D106" s="86"/>
      <c r="E106" s="86"/>
      <c r="F106" s="24"/>
      <c r="G106" s="24"/>
      <c r="H106" s="24"/>
      <c r="I106" s="24"/>
      <c r="J106" s="24"/>
      <c r="K106" s="24"/>
      <c r="L106" s="27"/>
      <c r="M106" s="27"/>
    </row>
    <row r="107" spans="2:13" s="1" customFormat="1">
      <c r="B107" s="66"/>
      <c r="C107" s="66"/>
      <c r="D107" s="86"/>
      <c r="E107" s="86"/>
      <c r="F107" s="68"/>
      <c r="G107" s="68"/>
      <c r="H107" s="68"/>
      <c r="I107" s="68"/>
      <c r="J107" s="68"/>
      <c r="K107" s="68"/>
      <c r="L107" s="68"/>
      <c r="M107" s="68"/>
    </row>
    <row r="108" spans="2:13" s="1" customFormat="1">
      <c r="B108" s="12"/>
      <c r="C108" s="12"/>
      <c r="D108" s="85"/>
      <c r="E108" s="85"/>
      <c r="F108" s="85"/>
      <c r="G108" s="25"/>
      <c r="H108" s="25"/>
      <c r="I108" s="25"/>
      <c r="J108" s="25"/>
      <c r="K108" s="25"/>
      <c r="L108" s="25"/>
      <c r="M108" s="25"/>
    </row>
    <row r="109" spans="2:13" s="1" customFormat="1">
      <c r="B109" s="13"/>
      <c r="C109" s="2"/>
      <c r="D109" s="85"/>
      <c r="E109" s="85"/>
      <c r="F109" s="85"/>
      <c r="G109" s="26"/>
      <c r="H109" s="26"/>
      <c r="I109" s="26"/>
      <c r="J109" s="26"/>
      <c r="K109" s="26"/>
      <c r="L109" s="26"/>
      <c r="M109" s="26"/>
    </row>
  </sheetData>
  <pageMargins left="0.7" right="0.7" top="0.75" bottom="0.75" header="0.3" footer="0.3"/>
  <pageSetup paperSize="9" orientation="portrait" r:id="rId1"/>
  <ignoredErrors>
    <ignoredError sqref="F22:I22 M19:N19 M20:N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DCF</vt:lpstr>
    </vt:vector>
  </TitlesOfParts>
  <Company>Hunt Consolidated,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Juan-Felipe Cabrera Pazos</dc:creator>
  <cp:lastModifiedBy>T.P.V.S. ANIRUDH</cp:lastModifiedBy>
  <dcterms:created xsi:type="dcterms:W3CDTF">2016-05-13T20:45:03Z</dcterms:created>
  <dcterms:modified xsi:type="dcterms:W3CDTF">2019-12-25T08:08:05Z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